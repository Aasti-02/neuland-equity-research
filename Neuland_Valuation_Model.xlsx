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priya\Desktop\Neuland Valuation Project\"/>
    </mc:Choice>
  </mc:AlternateContent>
  <xr:revisionPtr revIDLastSave="0" documentId="13_ncr:1_{4F90D920-8215-4D66-8D3B-701244BC4891}" xr6:coauthVersionLast="47" xr6:coauthVersionMax="47" xr10:uidLastSave="{00000000-0000-0000-0000-000000000000}"/>
  <bookViews>
    <workbookView xWindow="-108" yWindow="-108" windowWidth="23256" windowHeight="13176" firstSheet="2" activeTab="5" xr2:uid="{00000000-000D-0000-FFFF-FFFF00000000}"/>
  </bookViews>
  <sheets>
    <sheet name="Cover_Page" sheetId="11" r:id="rId1"/>
    <sheet name="Company_Overview" sheetId="1" r:id="rId2"/>
    <sheet name="Industry_Analysis" sheetId="2" r:id="rId3"/>
    <sheet name="Historical_Financials" sheetId="3" r:id="rId4"/>
    <sheet name="Ratio_Analysis" sheetId="4" r:id="rId5"/>
    <sheet name="Comparable_Valuation" sheetId="7" r:id="rId6"/>
    <sheet name="DCF" sheetId="6" r:id="rId7"/>
    <sheet name="Sensitivity" sheetId="8" r:id="rId8"/>
    <sheet name="Investment_Thesis" sheetId="9" r:id="rId9"/>
    <sheet name="Final Recommendatio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8" l="1"/>
  <c r="J15" i="6"/>
  <c r="D10" i="8"/>
  <c r="C15" i="6"/>
  <c r="D19" i="4"/>
  <c r="E19" i="4"/>
  <c r="F19" i="4"/>
  <c r="G19" i="4"/>
  <c r="C19" i="4"/>
  <c r="D18" i="4"/>
  <c r="E18" i="4"/>
  <c r="F18" i="4"/>
  <c r="G18" i="4"/>
  <c r="C18" i="4"/>
  <c r="D12" i="4"/>
  <c r="E12" i="4"/>
  <c r="F12" i="4"/>
  <c r="G12" i="4"/>
  <c r="C12" i="4"/>
  <c r="C13" i="3"/>
  <c r="E12" i="8"/>
  <c r="C12" i="8"/>
  <c r="D8" i="7"/>
  <c r="F8" i="7"/>
  <c r="G8" i="7"/>
  <c r="C3" i="7"/>
  <c r="C8" i="7" s="1"/>
  <c r="J14" i="6"/>
  <c r="J12" i="6"/>
  <c r="J11" i="6"/>
  <c r="G15" i="6"/>
  <c r="F15" i="6"/>
  <c r="E15" i="6"/>
  <c r="D15" i="6"/>
  <c r="C7" i="6"/>
  <c r="D7" i="6" s="1"/>
  <c r="E7" i="6" s="1"/>
  <c r="E3" i="7"/>
  <c r="E8" i="7" s="1"/>
  <c r="E15" i="4"/>
  <c r="F15" i="4"/>
  <c r="G15" i="4"/>
  <c r="D15" i="4"/>
  <c r="D9" i="4"/>
  <c r="E9" i="4"/>
  <c r="F9" i="4"/>
  <c r="G9" i="4"/>
  <c r="C9" i="4"/>
  <c r="D8" i="4"/>
  <c r="E8" i="4"/>
  <c r="F8" i="4"/>
  <c r="G8" i="4"/>
  <c r="C8" i="4"/>
  <c r="G5" i="4"/>
  <c r="F5" i="4"/>
  <c r="E5" i="4"/>
  <c r="D5" i="4"/>
  <c r="G4" i="4"/>
  <c r="G3" i="7" s="1"/>
  <c r="F4" i="4"/>
  <c r="E4" i="4"/>
  <c r="D4" i="4"/>
  <c r="D13" i="3"/>
  <c r="E13" i="3"/>
  <c r="F13" i="3"/>
  <c r="G13" i="3"/>
  <c r="C8" i="6" l="1"/>
  <c r="C10" i="6" s="1"/>
  <c r="C11" i="6" s="1"/>
  <c r="C14" i="6" s="1"/>
  <c r="C16" i="6" s="1"/>
  <c r="E8" i="6"/>
  <c r="E10" i="6" s="1"/>
  <c r="E11" i="6" s="1"/>
  <c r="E14" i="6" s="1"/>
  <c r="E16" i="6" s="1"/>
  <c r="D8" i="6"/>
  <c r="D10" i="6" s="1"/>
  <c r="D11" i="6" s="1"/>
  <c r="D14" i="6" s="1"/>
  <c r="D16" i="6" s="1"/>
  <c r="F7" i="6" l="1"/>
  <c r="F8" i="6" s="1"/>
  <c r="F10" i="6" l="1"/>
  <c r="F11" i="6" s="1"/>
  <c r="F14" i="6" s="1"/>
  <c r="F16" i="6" s="1"/>
  <c r="G7" i="6"/>
  <c r="G8" i="6" s="1"/>
  <c r="G10" i="6" s="1"/>
  <c r="G11" i="6" s="1"/>
  <c r="G14" i="6" s="1"/>
  <c r="C19" i="6" s="1"/>
  <c r="C20" i="6" s="1"/>
  <c r="C21" i="6" s="1"/>
  <c r="J9" i="6" s="1"/>
  <c r="G16" i="6" l="1"/>
  <c r="J8" i="6" s="1"/>
  <c r="J10" i="6" s="1"/>
  <c r="J13" i="6" s="1"/>
</calcChain>
</file>

<file path=xl/sharedStrings.xml><?xml version="1.0" encoding="utf-8"?>
<sst xmlns="http://schemas.openxmlformats.org/spreadsheetml/2006/main" count="271" uniqueCount="205">
  <si>
    <t>Year</t>
  </si>
  <si>
    <t>FY22</t>
  </si>
  <si>
    <t>FY23</t>
  </si>
  <si>
    <t>FY24</t>
  </si>
  <si>
    <t>FY25</t>
  </si>
  <si>
    <t>Revenue</t>
  </si>
  <si>
    <t>Net Profit</t>
  </si>
  <si>
    <t>EPS</t>
  </si>
  <si>
    <t>CFO (Operating Cash Flow)</t>
  </si>
  <si>
    <t>Capex</t>
  </si>
  <si>
    <t>Free Cash Flow</t>
  </si>
  <si>
    <t>Total Assets</t>
  </si>
  <si>
    <t>Shareholders' Equity</t>
  </si>
  <si>
    <t>Cash &amp; Equivalents</t>
  </si>
  <si>
    <t>Figures in ₹ Crore.</t>
  </si>
  <si>
    <t xml:space="preserve">Data Source: Historical financial data extracted from Screener.in and cross-verified with annual reports where required. </t>
  </si>
  <si>
    <t>Operating Profit</t>
  </si>
  <si>
    <t>Borrowings</t>
  </si>
  <si>
    <t>All figures in ₹ Crore unless otherwise stated</t>
  </si>
  <si>
    <t>Revenue Growth %</t>
  </si>
  <si>
    <t>Net Profit growth</t>
  </si>
  <si>
    <t>Growth</t>
  </si>
  <si>
    <t>Margin</t>
  </si>
  <si>
    <t>Operating Margin%</t>
  </si>
  <si>
    <t>Net Profit Margin%</t>
  </si>
  <si>
    <t>Leverage</t>
  </si>
  <si>
    <t>Debt-to-equity</t>
  </si>
  <si>
    <t>Asset Efficiency</t>
  </si>
  <si>
    <t>Asset Growth</t>
  </si>
  <si>
    <t>-</t>
  </si>
  <si>
    <t>Return Ratios</t>
  </si>
  <si>
    <t>ROE</t>
  </si>
  <si>
    <t>ROA</t>
  </si>
  <si>
    <t>FY26</t>
  </si>
  <si>
    <t>FY27</t>
  </si>
  <si>
    <t>FY28</t>
  </si>
  <si>
    <t>FY29</t>
  </si>
  <si>
    <t>FY30</t>
  </si>
  <si>
    <t>Assumption</t>
  </si>
  <si>
    <t>Revenue Growth</t>
  </si>
  <si>
    <t>Operating Margin</t>
  </si>
  <si>
    <t>Tax Rate</t>
  </si>
  <si>
    <t>Business Overview</t>
  </si>
  <si>
    <t>Neuland Laboratories is an API and CDMO-focused pharmaceutical company serving global pharmaceutical and biotechnology customers.</t>
  </si>
  <si>
    <t>Key Strengths</t>
  </si>
  <si>
    <t>Key Risks</t>
  </si>
  <si>
    <t>Preliminary View</t>
  </si>
  <si>
    <t>Tax</t>
  </si>
  <si>
    <t>After-Tax Operating Profit</t>
  </si>
  <si>
    <t>Value</t>
  </si>
  <si>
    <t>Discount Rate</t>
  </si>
  <si>
    <t>Discount Factor</t>
  </si>
  <si>
    <t>Present Value</t>
  </si>
  <si>
    <t>DCF Summary</t>
  </si>
  <si>
    <t>Terminal Growth Rate</t>
  </si>
  <si>
    <t>PV of Forecast Cash Flows</t>
  </si>
  <si>
    <t>Terminal Value Calculation</t>
  </si>
  <si>
    <t>Terminal Value</t>
  </si>
  <si>
    <t>PV of Terminal Value</t>
  </si>
  <si>
    <t xml:space="preserve">FCF FY31 </t>
  </si>
  <si>
    <t>Enterprise Value</t>
  </si>
  <si>
    <t>Add: Cash</t>
  </si>
  <si>
    <t>Less: Debt</t>
  </si>
  <si>
    <t>Equity Value</t>
  </si>
  <si>
    <t>Market Data</t>
  </si>
  <si>
    <t>Current Share Price (₹)</t>
  </si>
  <si>
    <t>Market Capitalization (₹ Cr)</t>
  </si>
  <si>
    <t>Shares Outstanding (Cr)</t>
  </si>
  <si>
    <t>Intrinsic Value Per Share (₹)</t>
  </si>
  <si>
    <t xml:space="preserve">Value </t>
  </si>
  <si>
    <t>Terminal Growth</t>
  </si>
  <si>
    <t>Intrinsic Value</t>
  </si>
  <si>
    <t>Bear</t>
  </si>
  <si>
    <t>Base</t>
  </si>
  <si>
    <t>Bull</t>
  </si>
  <si>
    <t>FY27 Growth</t>
  </si>
  <si>
    <t>FY28 Growth</t>
  </si>
  <si>
    <t>FY29 Growth</t>
  </si>
  <si>
    <t>FY30 Growth</t>
  </si>
  <si>
    <t>Bear Case</t>
  </si>
  <si>
    <t>Bull Case</t>
  </si>
  <si>
    <t>Base Case</t>
  </si>
  <si>
    <t>Company</t>
  </si>
  <si>
    <t>Market Cap (₹ Cr)</t>
  </si>
  <si>
    <t>P/E</t>
  </si>
  <si>
    <t>ROE (%)</t>
  </si>
  <si>
    <t>ROCE (%)</t>
  </si>
  <si>
    <t>Revenue Growth (%)</t>
  </si>
  <si>
    <t>Neuland Labs</t>
  </si>
  <si>
    <t>Divi's Labs</t>
  </si>
  <si>
    <t>Syngene</t>
  </si>
  <si>
    <t>Laurus Labs</t>
  </si>
  <si>
    <t> 17,715</t>
  </si>
  <si>
    <t>10.1 </t>
  </si>
  <si>
    <t> 73,363</t>
  </si>
  <si>
    <t>17.8 </t>
  </si>
  <si>
    <t>Torrent Pharma</t>
  </si>
  <si>
    <t>27.4 %</t>
  </si>
  <si>
    <t>7.86 %</t>
  </si>
  <si>
    <t>18.3 %</t>
  </si>
  <si>
    <t>Company Name</t>
  </si>
  <si>
    <t>Neuland Laboratories Ltd.</t>
  </si>
  <si>
    <t>Founded</t>
  </si>
  <si>
    <t>Hyderabad, India</t>
  </si>
  <si>
    <t>Employees</t>
  </si>
  <si>
    <t>~2,100</t>
  </si>
  <si>
    <t>Industry</t>
  </si>
  <si>
    <t>Pharmaceuticals</t>
  </si>
  <si>
    <t>Business Model</t>
  </si>
  <si>
    <t>API &amp; CDMO</t>
  </si>
  <si>
    <t>Market Cap</t>
  </si>
  <si>
    <t>₹21,842 Cr</t>
  </si>
  <si>
    <t>Equity Research &amp; Valuation Report</t>
  </si>
  <si>
    <t>Contents:</t>
  </si>
  <si>
    <t>1. Company Overview</t>
  </si>
  <si>
    <t>2. Industry Analysis</t>
  </si>
  <si>
    <t>3. Historical Financials</t>
  </si>
  <si>
    <t>4. Ratio Analysis</t>
  </si>
  <si>
    <t>5. Investment Thesis</t>
  </si>
  <si>
    <t>6. Forecasts</t>
  </si>
  <si>
    <t>7. DCF Valuation</t>
  </si>
  <si>
    <t>8. Comparable Valuation</t>
  </si>
  <si>
    <t>9. Sensitivity Analysis</t>
  </si>
  <si>
    <t>10. Final Recommendation</t>
  </si>
  <si>
    <t>NEULAND LABORATORIES LTD.</t>
  </si>
  <si>
    <t>Project Information</t>
  </si>
  <si>
    <t>Neuland Laboratories</t>
  </si>
  <si>
    <t>Methodology</t>
  </si>
  <si>
    <t>DCF + Comparable Valuation</t>
  </si>
  <si>
    <t>Period Analyzed</t>
  </si>
  <si>
    <t>FY21–FY25</t>
  </si>
  <si>
    <t>Prepared By</t>
  </si>
  <si>
    <t>Aasti Priya</t>
  </si>
  <si>
    <t>This report is prepared solely for educational and research purposes and does not constitute investment advice.</t>
  </si>
  <si>
    <t>Valuation date</t>
  </si>
  <si>
    <t>Key Metrics</t>
  </si>
  <si>
    <t>ROCE</t>
  </si>
  <si>
    <t>₹1,477 Cr</t>
  </si>
  <si>
    <t>Current Share Price</t>
  </si>
  <si>
    <t>Segment</t>
  </si>
  <si>
    <t>CDMO</t>
  </si>
  <si>
    <t>Prime APIs</t>
  </si>
  <si>
    <t>Specialty APIs</t>
  </si>
  <si>
    <t>Others</t>
  </si>
  <si>
    <t>Revenue Contribution FY25</t>
  </si>
  <si>
    <t>COMPANY SNAPSHOT</t>
  </si>
  <si>
    <t>REVENUE MIX FY25</t>
  </si>
  <si>
    <t>BUSINESS SEGMENTS</t>
  </si>
  <si>
    <t>Description</t>
  </si>
  <si>
    <t>Generic APIs</t>
  </si>
  <si>
    <t>Established pharmaceutical ingredients</t>
  </si>
  <si>
    <t>High-value complex APIs</t>
  </si>
  <si>
    <t>Contract development &amp; manufacturing services</t>
  </si>
  <si>
    <t>INVESTMENT HIGHLIGHTS</t>
  </si>
  <si>
    <t>BUSINESS MODEL FLOWCHART</t>
  </si>
  <si>
    <t>Headquarterd in</t>
  </si>
  <si>
    <t>*Strong exposure to high-growth API and CDMO segments.
*Benefits from China+1 outsourcing trend.
*Peptide capacity expansion provides long-term growth potential.
*ROCE of 26.6% demonstrates efficient capital allocation.
*Long-term growth supported by increasing pharma outsourcing.</t>
  </si>
  <si>
    <t xml:space="preserve">Key Takeaway: Neuland Laboratories is a specialized API and CDMO manufacturer positioned to benefit from pharmaceutical outsourcing, peptide manufacturing expansion, and the China+1 supply chain diversification trend.
</t>
  </si>
  <si>
    <t>INDUSTRY OVERVIEW</t>
  </si>
  <si>
    <t>GROWTH DRIVERS</t>
  </si>
  <si>
    <t>COMPETITIVE ADVANTAGE OF INDIA</t>
  </si>
  <si>
    <t>RISKS</t>
  </si>
  <si>
    <r>
      <rPr>
        <b/>
        <sz val="11"/>
        <color theme="1"/>
        <rFont val="Calibri"/>
        <family val="2"/>
        <scheme val="minor"/>
      </rPr>
      <t xml:space="preserve">Pharma Industry: </t>
    </r>
    <r>
      <rPr>
        <sz val="11"/>
        <color theme="1"/>
        <rFont val="Calibri"/>
        <family val="2"/>
        <scheme val="minor"/>
      </rPr>
      <t xml:space="preserve">India is one of the world's largest pharmaceutical producers by volume and a major supplier of generic medicines globally.
</t>
    </r>
    <r>
      <rPr>
        <b/>
        <sz val="11"/>
        <color theme="1"/>
        <rFont val="Calibri"/>
        <family val="2"/>
        <scheme val="minor"/>
      </rPr>
      <t xml:space="preserve">API Industry: </t>
    </r>
    <r>
      <rPr>
        <sz val="11"/>
        <color theme="1"/>
        <rFont val="Calibri"/>
        <family val="2"/>
        <scheme val="minor"/>
      </rPr>
      <t xml:space="preserve">APIs are the key active ingredients in drugs. Increasing global demand and supply-chain diversification are creating growth opportunities for Indian API manufacturers.
</t>
    </r>
    <r>
      <rPr>
        <b/>
        <sz val="11"/>
        <color theme="1"/>
        <rFont val="Calibri"/>
        <family val="2"/>
        <scheme val="minor"/>
      </rPr>
      <t xml:space="preserve">CDMO Industry: </t>
    </r>
    <r>
      <rPr>
        <sz val="11"/>
        <color theme="1"/>
        <rFont val="Calibri"/>
        <family val="2"/>
        <scheme val="minor"/>
      </rPr>
      <t>CDMOs provide outsourced drug development and manufacturing services. The sector is growing as pharmaceutical companies focus on R&amp;D while outsourcing production.</t>
    </r>
  </si>
  <si>
    <r>
      <rPr>
        <b/>
        <sz val="11"/>
        <color theme="1"/>
        <rFont val="Calibri"/>
        <family val="2"/>
        <scheme val="minor"/>
      </rPr>
      <t>China+1:</t>
    </r>
    <r>
      <rPr>
        <sz val="11"/>
        <color theme="1"/>
        <rFont val="Calibri"/>
        <family val="2"/>
        <scheme val="minor"/>
      </rPr>
      <t xml:space="preserve"> Global pharma companies are diversifying sourcing away from China, benefiting Indian manufacturers.
</t>
    </r>
    <r>
      <rPr>
        <b/>
        <sz val="11"/>
        <color theme="1"/>
        <rFont val="Calibri"/>
        <family val="2"/>
        <scheme val="minor"/>
      </rPr>
      <t>Outsourcing:</t>
    </r>
    <r>
      <rPr>
        <sz val="11"/>
        <color theme="1"/>
        <rFont val="Calibri"/>
        <family val="2"/>
        <scheme val="minor"/>
      </rPr>
      <t xml:space="preserve"> Drug companies increasingly outsource manufacturing to reduce costs and improve efficiency.
</t>
    </r>
    <r>
      <rPr>
        <b/>
        <sz val="11"/>
        <color theme="1"/>
        <rFont val="Calibri"/>
        <family val="2"/>
        <scheme val="minor"/>
      </rPr>
      <t xml:space="preserve">Innovation in Drugs: </t>
    </r>
    <r>
      <rPr>
        <sz val="11"/>
        <color theme="1"/>
        <rFont val="Calibri"/>
        <family val="2"/>
        <scheme val="minor"/>
      </rPr>
      <t xml:space="preserve">Growth in complex molecules and specialty drugs increases demand for advanced manufacturing capabilities.
</t>
    </r>
    <r>
      <rPr>
        <b/>
        <sz val="11"/>
        <color theme="1"/>
        <rFont val="Calibri"/>
        <family val="2"/>
        <scheme val="minor"/>
      </rPr>
      <t xml:space="preserve">Peptides: </t>
    </r>
    <r>
      <rPr>
        <sz val="11"/>
        <color theme="1"/>
        <rFont val="Calibri"/>
        <family val="2"/>
        <scheme val="minor"/>
      </rPr>
      <t>Rising demand for peptide-based therapies supports long-term industry growth.</t>
    </r>
  </si>
  <si>
    <r>
      <rPr>
        <b/>
        <sz val="11"/>
        <color theme="1"/>
        <rFont val="Calibri"/>
        <family val="2"/>
        <scheme val="minor"/>
      </rPr>
      <t>Cost Advantage:</t>
    </r>
    <r>
      <rPr>
        <sz val="11"/>
        <color theme="1"/>
        <rFont val="Calibri"/>
        <family val="2"/>
        <scheme val="minor"/>
      </rPr>
      <t xml:space="preserve"> Lower manufacturing costs compared with developed markets.
</t>
    </r>
    <r>
      <rPr>
        <b/>
        <sz val="11"/>
        <color theme="1"/>
        <rFont val="Calibri"/>
        <family val="2"/>
        <scheme val="minor"/>
      </rPr>
      <t>Skilled Workforce:</t>
    </r>
    <r>
      <rPr>
        <sz val="11"/>
        <color theme="1"/>
        <rFont val="Calibri"/>
        <family val="2"/>
        <scheme val="minor"/>
      </rPr>
      <t xml:space="preserve"> Large pool of scientists, engineers, and pharmaceutical professionals.
</t>
    </r>
    <r>
      <rPr>
        <b/>
        <sz val="11"/>
        <color theme="1"/>
        <rFont val="Calibri"/>
        <family val="2"/>
        <scheme val="minor"/>
      </rPr>
      <t xml:space="preserve">Regulatory Compliance: </t>
    </r>
    <r>
      <rPr>
        <sz val="11"/>
        <color theme="1"/>
        <rFont val="Calibri"/>
        <family val="2"/>
        <scheme val="minor"/>
      </rPr>
      <t>Strong presence of USFDA and EU-approved facilities.</t>
    </r>
  </si>
  <si>
    <r>
      <rPr>
        <b/>
        <sz val="11"/>
        <color theme="1"/>
        <rFont val="Calibri"/>
        <family val="2"/>
        <scheme val="minor"/>
      </rPr>
      <t xml:space="preserve">Regulatory: </t>
    </r>
    <r>
      <rPr>
        <sz val="11"/>
        <color theme="1"/>
        <rFont val="Calibri"/>
        <family val="2"/>
        <scheme val="minor"/>
      </rPr>
      <t xml:space="preserve">Compliance failures can result in warning letters or import restrictions.
</t>
    </r>
    <r>
      <rPr>
        <b/>
        <sz val="11"/>
        <color theme="1"/>
        <rFont val="Calibri"/>
        <family val="2"/>
        <scheme val="minor"/>
      </rPr>
      <t xml:space="preserve">Geopolitical: </t>
    </r>
    <r>
      <rPr>
        <sz val="11"/>
        <color theme="1"/>
        <rFont val="Calibri"/>
        <family val="2"/>
        <scheme val="minor"/>
      </rPr>
      <t xml:space="preserve">Trade disruptions and policy changes may affect exports.
</t>
    </r>
    <r>
      <rPr>
        <b/>
        <sz val="11"/>
        <color theme="1"/>
        <rFont val="Calibri"/>
        <family val="2"/>
        <scheme val="minor"/>
      </rPr>
      <t xml:space="preserve">Supply Chain: </t>
    </r>
    <r>
      <rPr>
        <sz val="11"/>
        <color theme="1"/>
        <rFont val="Calibri"/>
        <family val="2"/>
        <scheme val="minor"/>
      </rPr>
      <t xml:space="preserve">Dependence on imported raw materials can impact production.
</t>
    </r>
    <r>
      <rPr>
        <b/>
        <sz val="11"/>
        <color theme="1"/>
        <rFont val="Calibri"/>
        <family val="2"/>
        <scheme val="minor"/>
      </rPr>
      <t xml:space="preserve">Quality Issues: </t>
    </r>
    <r>
      <rPr>
        <sz val="11"/>
        <color theme="1"/>
        <rFont val="Calibri"/>
        <family val="2"/>
        <scheme val="minor"/>
      </rPr>
      <t>Product recalls or manufacturing failures can damage reputation.</t>
    </r>
  </si>
  <si>
    <t>INDUSTRY OUTLOOK</t>
  </si>
  <si>
    <t>The Indian API and CDMO industries are expected to benefit from increasing pharmaceutical outsourcing, China+1 diversification, and growing demand for complex molecules and peptide-based therapies. These trends support long-term growth opportunities for companies such as Neuland Laboratories.
• India supplies ~20% of the world's generic medicines by volume.
• The Indian pharmaceutical industry is expected to continue benefiting from outsourcing and China+1 diversification trends.</t>
  </si>
  <si>
    <t>Financial Performance Summary</t>
  </si>
  <si>
    <t>CASH FLOW STATEMENT</t>
  </si>
  <si>
    <t>INCOME STATEMENT</t>
  </si>
  <si>
    <t>BALANCE SHEET</t>
  </si>
  <si>
    <t>Ratio Analysis Summary</t>
  </si>
  <si>
    <t>Industry leader with consistent growth.</t>
  </si>
  <si>
    <t>Lower profitability but strong CDMO exposure.</t>
  </si>
  <si>
    <t>Higher growth potential but more volatile.</t>
  </si>
  <si>
    <t>Diversified pharma player with strong ROE.</t>
  </si>
  <si>
    <t>Comments</t>
  </si>
  <si>
    <t>Comparable Valuation Summary</t>
  </si>
  <si>
    <t>Peer Average</t>
  </si>
  <si>
    <t>Current Price</t>
  </si>
  <si>
    <t>Upside/(Downside)</t>
  </si>
  <si>
    <t>Sensitivity Analysis Conclusion</t>
  </si>
  <si>
    <t>Valuation Summary</t>
  </si>
  <si>
    <t>Metric</t>
  </si>
  <si>
    <t>Current Market Price</t>
  </si>
  <si>
    <t>DCF Intrinsic Value</t>
  </si>
  <si>
    <t>Bear Case Value</t>
  </si>
  <si>
    <t>Bull Case Value</t>
  </si>
  <si>
    <t>• Revenue more than doubled from ₹951 Cr in FY22 to ₹2,023 Cr in FY26.
• Operating profit increased from ₹144 Cr to ₹574 Cr, reflecting improved operating efficiency and scale benefits.
• Net profit grew from ₹64 Cr in FY22 to ₹364 Cr in FY26, driven by stronger margins and business expansion.
• Total assets expanded from ₹1,383 Cr to ₹2,930 Cr, supporting future manufacturing and capacity growth.
• The company maintained a healthy balance sheet with debt-to-equity below 0.20x and cash reserves increasing to ₹355 Cr in FY26.</t>
  </si>
  <si>
    <t>Key Insight: Revenue grew from ₹951 Cr in FY22 to ₹2,023 Cr in FY26, while net profit increased from ₹64 Cr to ₹364 Cr. Despite fluctuations in certain years, Neuland demonstrated strong profitability, expanding scale, and a healthy financial position over the period.</t>
  </si>
  <si>
    <r>
      <t xml:space="preserve">Profitability: </t>
    </r>
    <r>
      <rPr>
        <sz val="11"/>
        <color theme="1"/>
        <rFont val="Calibri"/>
        <family val="2"/>
        <scheme val="minor"/>
      </rPr>
      <t>Operating margin improved from 15% in FY22 to 28% in FY26, while net profit margin expanded from 7% to 18%, reflecting stronger operational efficiency and scale.</t>
    </r>
    <r>
      <rPr>
        <b/>
        <sz val="11"/>
        <color theme="1"/>
        <rFont val="Calibri"/>
        <family val="2"/>
        <scheme val="minor"/>
      </rPr>
      <t xml:space="preserve">
Leverage: </t>
    </r>
    <r>
      <rPr>
        <sz val="11"/>
        <color theme="1"/>
        <rFont val="Calibri"/>
        <family val="2"/>
        <scheme val="minor"/>
      </rPr>
      <t>Debt-to-equity remained below 0.30x throughout the period, indicating a conservative balance sheet and manageable financial risk.</t>
    </r>
    <r>
      <rPr>
        <b/>
        <sz val="11"/>
        <color theme="1"/>
        <rFont val="Calibri"/>
        <family val="2"/>
        <scheme val="minor"/>
      </rPr>
      <t xml:space="preserve">
Efficiency: </t>
    </r>
    <r>
      <rPr>
        <sz val="11"/>
        <color theme="1"/>
        <rFont val="Calibri"/>
        <family val="2"/>
        <scheme val="minor"/>
      </rPr>
      <t>Total assets grew from ₹1,383 Cr in FY22 to ₹2,930 Cr in FY26, supporting capacity expansion and future growth initiatives.</t>
    </r>
    <r>
      <rPr>
        <b/>
        <sz val="11"/>
        <color theme="1"/>
        <rFont val="Calibri"/>
        <family val="2"/>
        <scheme val="minor"/>
      </rPr>
      <t xml:space="preserve">
Returns:</t>
    </r>
    <r>
      <rPr>
        <sz val="11"/>
        <color theme="1"/>
        <rFont val="Calibri"/>
        <family val="2"/>
        <scheme val="minor"/>
      </rPr>
      <t xml:space="preserve"> ROE improved from 8% to 19%, while ROA increased from 5% to 12%, demonstrating improved capital allocation and profitability.</t>
    </r>
  </si>
  <si>
    <t>Strong ROCE, healthy profitability, and sharp revenue recovery in FY26.</t>
  </si>
  <si>
    <t>Neuland Laboratories trades at a lower valuation than certain premium peers such as Divi's Labs while delivering superior ROCE and competitive return ratios. The company demonstrated a strong recovery in FY26 with revenue growth of 37% and ROE of 19%. Compared with peers, Neuland combines healthy profitability, efficient capital allocation, and exposure to long-term API and CDMO growth opportunities.</t>
  </si>
  <si>
    <t>FY31</t>
  </si>
  <si>
    <r>
      <rPr>
        <b/>
        <sz val="11"/>
        <color theme="1"/>
        <rFont val="Calibri"/>
        <family val="2"/>
        <scheme val="minor"/>
      </rPr>
      <t>DCF Conclusion:</t>
    </r>
    <r>
      <rPr>
        <sz val="11"/>
        <color theme="1"/>
        <rFont val="Calibri"/>
        <family val="2"/>
        <scheme val="minor"/>
      </rPr>
      <t xml:space="preserve"> Based on projected cash flows, a 12% discount rate, and a 4% terminal growth rate, the estimated intrinsic value is ₹5,879 per share. The valuation is below the current market price of ₹17,016, suggesting that investors may be pricing in stronger long-term growth expectations than those reflected in the base-case assumptions.</t>
    </r>
  </si>
  <si>
    <t>FY31 Growth</t>
  </si>
  <si>
    <t>The valuation outcome is highly sensitive to assumptions regarding revenue growth, operating margins, discount rates, and terminal growth. Under the base-case assumptions, the estimated intrinsic value is ₹5,879 per share. The bear and bull scenarios demonstrate the range of possible outcomes under varying business performance and market conditions.
While the DCF valuation remains below the current market price across all scenarios, the market may be pricing in stronger long-term growth expectations from Neuland's API and CDMO businesses, future capacity expansion, and peptide manufacturing opportunities.</t>
  </si>
  <si>
    <t>Strong position in API and CDMO segments.
Beneficiary of China+1 outsourcing trend.
Expanding peptide manufacturing capabilities.
Strong ROCE of 26.6% and improving profitability.
Healthy balance sheet with low leverage.
Revenue recovered strongly in FY26.</t>
  </si>
  <si>
    <t>Premium market valuation relative to intrinsic value estimates.
Dependence on customer demand cycles and project execution.
Regulatory and compliance risks in global markets.
Margin pressure from raw material cost fluctuations.
Execution risk related to capacity expansion.</t>
  </si>
  <si>
    <t>Neuland Laboratories appears to be a fundamentally strong pharmaceutical company with attractive exposure to the API and CDMO segments. The company delivered a strong recovery in FY26, supported by improving profitability and expanding manufacturing capabilities. While the current market valuation remains demanding relative to the base-case DCF estimate, long-term growth opportunities from outsourcing trends, peptide manufacturing, and capacity expansion continue to support the investment case.</t>
  </si>
  <si>
    <t>Recommendation</t>
  </si>
  <si>
    <t>Neuland Laboratories demonstrates strong business fundamentals, high capital efficiency, and attractive industry positioning. Although the DCF valuation indicates a value below the current market price, the company remains well positioned to benefit from long-term growth in pharmaceutical outsourcing and specialty manufacturing. Investors appear to be assigning a premium valuation based on future growth expectations.</t>
  </si>
  <si>
    <t>Disclaimer</t>
  </si>
  <si>
    <t>This report is prepared solely for educational and research purposes and should not be considered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</si>
</sst>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164" formatCode="0.0000"/>
    <numFmt numFmtId="165" formatCode="0.000"/>
    <numFmt numFmtId="166" formatCode="&quot;₹&quot;\ #,##0.00"/>
    <numFmt numFmtId="167" formatCode="0.0%"/>
    <numFmt numFmtId="168" formatCode="0.0"/>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0066FF"/>
      <name val="Calibri"/>
      <family val="2"/>
      <scheme val="minor"/>
    </font>
    <font>
      <b/>
      <i/>
      <sz val="11"/>
      <color theme="1"/>
      <name val="Calibri"/>
      <family val="2"/>
      <scheme val="minor"/>
    </font>
    <font>
      <sz val="11"/>
      <name val="Calibri"/>
      <family val="2"/>
      <scheme val="minor"/>
    </font>
    <font>
      <u/>
      <sz val="11"/>
      <color theme="10"/>
      <name val="Calibri"/>
      <family val="2"/>
      <scheme val="minor"/>
    </font>
    <font>
      <b/>
      <sz val="22"/>
      <color theme="0"/>
      <name val="Calibri"/>
      <family val="2"/>
      <scheme val="minor"/>
    </font>
    <font>
      <b/>
      <sz val="14"/>
      <color theme="0"/>
      <name val="Calibri"/>
      <family val="2"/>
      <scheme val="minor"/>
    </font>
    <font>
      <i/>
      <sz val="11"/>
      <color theme="1"/>
      <name val="Calibri"/>
      <family val="2"/>
      <scheme val="minor"/>
    </font>
    <font>
      <i/>
      <sz val="11"/>
      <color theme="2" tint="-9.9978637043366805E-2"/>
      <name val="Calibri"/>
      <family val="2"/>
      <scheme val="minor"/>
    </font>
    <font>
      <sz val="11"/>
      <color rgb="FF002060"/>
      <name val="Calibri"/>
      <family val="2"/>
      <scheme val="minor"/>
    </font>
    <font>
      <i/>
      <sz val="11"/>
      <color theme="2" tint="-0.249977111117893"/>
      <name val="Calibri"/>
      <family val="2"/>
      <scheme val="minor"/>
    </font>
    <font>
      <sz val="8"/>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05">
    <xf numFmtId="0" fontId="0" fillId="0" borderId="0" xfId="0"/>
    <xf numFmtId="0" fontId="0" fillId="0" borderId="0" xfId="0" applyAlignment="1">
      <alignment vertical="center" wrapText="1"/>
    </xf>
    <xf numFmtId="0" fontId="4" fillId="0" borderId="0" xfId="0" applyFont="1" applyAlignment="1">
      <alignment vertical="center" wrapText="1"/>
    </xf>
    <xf numFmtId="3" fontId="4" fillId="0" borderId="0" xfId="0" applyNumberFormat="1" applyFont="1" applyAlignment="1">
      <alignment vertical="center" wrapText="1"/>
    </xf>
    <xf numFmtId="0" fontId="2" fillId="2" borderId="0" xfId="0" applyFont="1" applyFill="1" applyAlignment="1">
      <alignment horizontal="center" vertical="center" wrapText="1"/>
    </xf>
    <xf numFmtId="0" fontId="0" fillId="0" borderId="0" xfId="0" applyAlignment="1">
      <alignment horizontal="center"/>
    </xf>
    <xf numFmtId="9" fontId="6" fillId="0" borderId="0" xfId="1"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xf>
    <xf numFmtId="9" fontId="0" fillId="0" borderId="0" xfId="1" applyFont="1"/>
    <xf numFmtId="0" fontId="5" fillId="3" borderId="0" xfId="0" applyFont="1" applyFill="1"/>
    <xf numFmtId="0" fontId="4" fillId="3" borderId="0" xfId="0" applyFont="1" applyFill="1" applyAlignment="1">
      <alignment vertical="center" wrapText="1"/>
    </xf>
    <xf numFmtId="3" fontId="4" fillId="3" borderId="0" xfId="0" applyNumberFormat="1" applyFont="1" applyFill="1" applyAlignment="1">
      <alignment vertical="center" wrapText="1"/>
    </xf>
    <xf numFmtId="9" fontId="0" fillId="0" borderId="0" xfId="0" applyNumberFormat="1" applyAlignment="1">
      <alignment vertical="center" wrapText="1"/>
    </xf>
    <xf numFmtId="9" fontId="4" fillId="0" borderId="0" xfId="0" applyNumberFormat="1" applyFont="1" applyAlignment="1">
      <alignment vertical="center" wrapText="1"/>
    </xf>
    <xf numFmtId="9" fontId="0" fillId="0" borderId="0" xfId="1" applyFont="1" applyAlignment="1">
      <alignment vertical="center" wrapText="1"/>
    </xf>
    <xf numFmtId="2" fontId="0" fillId="0" borderId="0" xfId="0" applyNumberFormat="1" applyAlignment="1">
      <alignment vertical="center" wrapText="1"/>
    </xf>
    <xf numFmtId="164" fontId="0" fillId="0" borderId="0" xfId="0" applyNumberFormat="1" applyAlignment="1">
      <alignment vertical="center" wrapText="1"/>
    </xf>
    <xf numFmtId="2" fontId="0" fillId="0" borderId="0" xfId="0" applyNumberFormat="1"/>
    <xf numFmtId="4" fontId="3" fillId="0" borderId="0" xfId="0" applyNumberFormat="1" applyFont="1" applyAlignment="1">
      <alignment vertical="center" wrapText="1"/>
    </xf>
    <xf numFmtId="0" fontId="0" fillId="0" borderId="0" xfId="0" applyAlignment="1">
      <alignment horizontal="right" vertical="center" wrapText="1"/>
    </xf>
    <xf numFmtId="0" fontId="2" fillId="2" borderId="0" xfId="0" applyFont="1" applyFill="1" applyAlignment="1">
      <alignment horizontal="right" vertical="center" wrapText="1"/>
    </xf>
    <xf numFmtId="165" fontId="0" fillId="0" borderId="0" xfId="0" applyNumberFormat="1" applyAlignment="1">
      <alignment horizontal="right" vertical="center" wrapText="1"/>
    </xf>
    <xf numFmtId="165" fontId="3" fillId="0" borderId="0" xfId="0" applyNumberFormat="1" applyFont="1"/>
    <xf numFmtId="4" fontId="3" fillId="0" borderId="0" xfId="0" applyNumberFormat="1" applyFont="1"/>
    <xf numFmtId="3" fontId="0" fillId="0" borderId="0" xfId="0" applyNumberFormat="1"/>
    <xf numFmtId="0" fontId="2" fillId="2" borderId="0" xfId="0" applyFont="1" applyFill="1" applyAlignment="1">
      <alignment horizontal="left" vertical="center" wrapText="1"/>
    </xf>
    <xf numFmtId="0" fontId="3" fillId="0" borderId="0" xfId="0" applyFont="1" applyAlignment="1">
      <alignment horizontal="right" vertical="center" wrapText="1"/>
    </xf>
    <xf numFmtId="166" fontId="0" fillId="0" borderId="0" xfId="0" applyNumberFormat="1"/>
    <xf numFmtId="166" fontId="0" fillId="0" borderId="0" xfId="0" applyNumberFormat="1" applyAlignment="1">
      <alignment horizontal="right" vertical="center" wrapText="1"/>
    </xf>
    <xf numFmtId="164" fontId="3" fillId="0" borderId="0" xfId="0" applyNumberFormat="1" applyFont="1" applyAlignment="1">
      <alignment horizontal="right" vertical="center" wrapText="1"/>
    </xf>
    <xf numFmtId="0" fontId="3" fillId="0" borderId="0" xfId="0" applyFont="1" applyAlignment="1">
      <alignment horizontal="left" vertical="center" wrapText="1"/>
    </xf>
    <xf numFmtId="0" fontId="2" fillId="0" borderId="0" xfId="0" applyFont="1" applyAlignment="1">
      <alignment horizontal="center"/>
    </xf>
    <xf numFmtId="0" fontId="2" fillId="0" borderId="0" xfId="0" applyFont="1" applyAlignment="1">
      <alignment horizontal="right" vertical="center" wrapText="1"/>
    </xf>
    <xf numFmtId="0" fontId="2" fillId="0" borderId="0" xfId="0" applyFont="1"/>
    <xf numFmtId="0" fontId="0" fillId="0" borderId="1" xfId="0" applyBorder="1" applyAlignment="1">
      <alignment horizontal="left" vertical="center" wrapText="1"/>
    </xf>
    <xf numFmtId="9" fontId="0" fillId="0" borderId="0" xfId="1" applyFont="1" applyFill="1" applyBorder="1"/>
    <xf numFmtId="9" fontId="0" fillId="0" borderId="0" xfId="1" applyFont="1" applyBorder="1"/>
    <xf numFmtId="9" fontId="0" fillId="0" borderId="1" xfId="1" applyFont="1" applyBorder="1"/>
    <xf numFmtId="9" fontId="0" fillId="0" borderId="2" xfId="1" applyFont="1" applyBorder="1"/>
    <xf numFmtId="9" fontId="1" fillId="0" borderId="2" xfId="1" applyFont="1" applyFill="1" applyBorder="1" applyAlignment="1">
      <alignment vertical="center" wrapText="1"/>
    </xf>
    <xf numFmtId="9" fontId="1" fillId="0" borderId="1" xfId="1" applyFont="1" applyFill="1" applyBorder="1"/>
    <xf numFmtId="9" fontId="1" fillId="0" borderId="1" xfId="1" applyFont="1" applyFill="1" applyBorder="1" applyAlignment="1">
      <alignment horizontal="right" vertical="center" wrapText="1"/>
    </xf>
    <xf numFmtId="0" fontId="0" fillId="0" borderId="0" xfId="0" applyAlignment="1">
      <alignment horizontal="left" vertical="center" wrapText="1"/>
    </xf>
    <xf numFmtId="0" fontId="0" fillId="0" borderId="0" xfId="0" applyAlignment="1">
      <alignment horizontal="left"/>
    </xf>
    <xf numFmtId="0" fontId="0" fillId="2" borderId="0" xfId="0" applyFill="1" applyAlignment="1">
      <alignment horizontal="left"/>
    </xf>
    <xf numFmtId="0" fontId="8" fillId="2" borderId="0" xfId="0" applyFont="1" applyFill="1" applyAlignment="1">
      <alignment horizontal="left"/>
    </xf>
    <xf numFmtId="0" fontId="2" fillId="2" borderId="0" xfId="0" applyFont="1" applyFill="1" applyAlignment="1">
      <alignment horizontal="left"/>
    </xf>
    <xf numFmtId="0" fontId="9" fillId="2" borderId="0" xfId="0" applyFont="1" applyFill="1" applyAlignment="1">
      <alignment horizontal="left"/>
    </xf>
    <xf numFmtId="0" fontId="10" fillId="0" borderId="0" xfId="0" applyFont="1"/>
    <xf numFmtId="0" fontId="0" fillId="0" borderId="3" xfId="0" applyBorder="1" applyAlignment="1">
      <alignment horizontal="left" vertical="center" wrapText="1"/>
    </xf>
    <xf numFmtId="0" fontId="0" fillId="5" borderId="0" xfId="0" applyFill="1" applyAlignment="1">
      <alignment horizontal="left" vertical="center" wrapText="1"/>
    </xf>
    <xf numFmtId="0" fontId="3" fillId="6" borderId="0" xfId="0" applyFont="1" applyFill="1" applyAlignment="1">
      <alignment horizontal="left" vertical="center" wrapText="1"/>
    </xf>
    <xf numFmtId="0" fontId="3" fillId="0" borderId="0" xfId="0" applyFont="1" applyAlignment="1">
      <alignment horizontal="left"/>
    </xf>
    <xf numFmtId="0" fontId="0" fillId="5" borderId="0" xfId="0" applyFill="1" applyAlignment="1">
      <alignment horizontal="left"/>
    </xf>
    <xf numFmtId="17" fontId="0" fillId="5" borderId="0" xfId="0" applyNumberFormat="1" applyFill="1" applyAlignment="1">
      <alignment horizontal="left"/>
    </xf>
    <xf numFmtId="0" fontId="11" fillId="0" borderId="0" xfId="0" applyFont="1"/>
    <xf numFmtId="10" fontId="0" fillId="0" borderId="0" xfId="0" applyNumberFormat="1" applyAlignment="1">
      <alignment horizontal="left" vertical="center" wrapText="1"/>
    </xf>
    <xf numFmtId="0" fontId="3" fillId="6" borderId="0" xfId="0" applyFont="1" applyFill="1" applyAlignment="1">
      <alignment horizontal="right" vertical="center" wrapText="1"/>
    </xf>
    <xf numFmtId="0" fontId="0" fillId="5" borderId="0" xfId="0" applyFill="1" applyAlignment="1">
      <alignment vertical="center" wrapText="1"/>
    </xf>
    <xf numFmtId="0" fontId="0" fillId="5" borderId="0" xfId="0" applyFill="1" applyAlignment="1">
      <alignment horizontal="right" vertical="center" wrapText="1"/>
    </xf>
    <xf numFmtId="10" fontId="0" fillId="5" borderId="0" xfId="0" applyNumberFormat="1" applyFill="1" applyAlignment="1">
      <alignment horizontal="right" vertical="center" wrapText="1"/>
    </xf>
    <xf numFmtId="0" fontId="12" fillId="2" borderId="0" xfId="0" applyFont="1" applyFill="1" applyAlignment="1">
      <alignment horizontal="left"/>
    </xf>
    <xf numFmtId="0" fontId="3" fillId="0" borderId="0" xfId="2" applyFont="1" applyAlignment="1">
      <alignment horizontal="left"/>
    </xf>
    <xf numFmtId="6" fontId="0" fillId="0" borderId="0" xfId="0" applyNumberFormat="1" applyAlignment="1">
      <alignment horizontal="left" vertical="center" wrapText="1"/>
    </xf>
    <xf numFmtId="0" fontId="3" fillId="0" borderId="0" xfId="0" applyFont="1" applyAlignment="1">
      <alignment vertical="center" wrapText="1"/>
    </xf>
    <xf numFmtId="9" fontId="0" fillId="0" borderId="0" xfId="0" applyNumberFormat="1" applyAlignment="1">
      <alignment horizontal="left" vertical="center" wrapText="1"/>
    </xf>
    <xf numFmtId="0" fontId="0" fillId="0" borderId="0" xfId="0" applyAlignment="1">
      <alignment vertical="top" wrapText="1"/>
    </xf>
    <xf numFmtId="3" fontId="4" fillId="4" borderId="0" xfId="0" applyNumberFormat="1" applyFont="1" applyFill="1" applyAlignment="1">
      <alignment vertical="center" wrapText="1"/>
    </xf>
    <xf numFmtId="0" fontId="4" fillId="4" borderId="0" xfId="0" applyFont="1" applyFill="1" applyAlignment="1">
      <alignment vertical="center" wrapText="1"/>
    </xf>
    <xf numFmtId="0" fontId="0" fillId="4" borderId="0" xfId="0" applyFill="1" applyAlignment="1">
      <alignment vertical="center" wrapText="1"/>
    </xf>
    <xf numFmtId="165" fontId="0" fillId="0" borderId="0" xfId="0" applyNumberFormat="1"/>
    <xf numFmtId="3" fontId="0" fillId="0" borderId="0" xfId="0" applyNumberFormat="1" applyAlignment="1">
      <alignment horizontal="left" vertical="center" wrapText="1"/>
    </xf>
    <xf numFmtId="167" fontId="0" fillId="0" borderId="0" xfId="1" applyNumberFormat="1" applyFont="1" applyAlignment="1">
      <alignment horizontal="left" vertical="center" wrapText="1"/>
    </xf>
    <xf numFmtId="0" fontId="0" fillId="4" borderId="0" xfId="0" applyFill="1" applyAlignment="1">
      <alignment horizontal="left" vertical="center" wrapText="1"/>
    </xf>
    <xf numFmtId="9" fontId="0" fillId="4" borderId="0" xfId="1" applyFont="1" applyFill="1" applyAlignment="1">
      <alignment horizontal="left" vertical="center" wrapText="1"/>
    </xf>
    <xf numFmtId="9" fontId="0" fillId="4" borderId="0" xfId="0" applyNumberFormat="1" applyFill="1" applyAlignment="1">
      <alignment horizontal="left" vertical="center" wrapText="1"/>
    </xf>
    <xf numFmtId="9" fontId="0" fillId="0" borderId="0" xfId="0" applyNumberFormat="1" applyAlignment="1">
      <alignment horizontal="left"/>
    </xf>
    <xf numFmtId="9" fontId="0" fillId="0" borderId="0" xfId="1" applyFont="1" applyAlignment="1">
      <alignment horizontal="left"/>
    </xf>
    <xf numFmtId="3" fontId="0" fillId="0" borderId="0" xfId="0" applyNumberFormat="1" applyAlignment="1">
      <alignment vertical="center" wrapText="1"/>
    </xf>
    <xf numFmtId="0" fontId="0" fillId="4" borderId="0" xfId="0" applyFill="1"/>
    <xf numFmtId="6" fontId="0" fillId="0" borderId="0" xfId="0" applyNumberFormat="1" applyAlignment="1">
      <alignment horizontal="right" vertical="center" wrapText="1"/>
    </xf>
    <xf numFmtId="0" fontId="3" fillId="0" borderId="3" xfId="0" applyFont="1" applyBorder="1" applyAlignment="1">
      <alignment horizontal="left" vertical="center" wrapText="1"/>
    </xf>
    <xf numFmtId="168" fontId="0" fillId="0" borderId="0" xfId="0" applyNumberFormat="1" applyAlignment="1">
      <alignment horizontal="left"/>
    </xf>
    <xf numFmtId="1" fontId="3" fillId="0" borderId="0" xfId="0" applyNumberFormat="1" applyFont="1"/>
    <xf numFmtId="1" fontId="0" fillId="0" borderId="0" xfId="0" applyNumberFormat="1"/>
    <xf numFmtId="0" fontId="0" fillId="0" borderId="0" xfId="0" applyAlignment="1">
      <alignment horizontal="left" vertical="center"/>
    </xf>
    <xf numFmtId="0" fontId="2" fillId="2" borderId="0" xfId="0" applyFont="1" applyFill="1" applyAlignment="1">
      <alignment horizontal="center"/>
    </xf>
    <xf numFmtId="0" fontId="0" fillId="0" borderId="0" xfId="0" applyAlignment="1">
      <alignment horizontal="left" vertical="top" wrapText="1"/>
    </xf>
    <xf numFmtId="0" fontId="0" fillId="4" borderId="0" xfId="0" applyFill="1" applyAlignment="1">
      <alignment horizontal="center" vertical="center" shrinkToFit="1"/>
    </xf>
    <xf numFmtId="0" fontId="0" fillId="4" borderId="1" xfId="0" applyFill="1" applyBorder="1" applyAlignment="1">
      <alignment horizontal="center" vertical="center" shrinkToFit="1"/>
    </xf>
    <xf numFmtId="0" fontId="0" fillId="4" borderId="2" xfId="0" applyFill="1" applyBorder="1" applyAlignment="1">
      <alignment horizontal="center" vertical="center" shrinkToFit="1"/>
    </xf>
    <xf numFmtId="0" fontId="0" fillId="4" borderId="2" xfId="0" applyFill="1" applyBorder="1" applyAlignment="1">
      <alignment horizontal="center" vertical="center"/>
    </xf>
    <xf numFmtId="0" fontId="0" fillId="4" borderId="1" xfId="0" applyFill="1" applyBorder="1" applyAlignment="1">
      <alignment horizontal="center" vertical="center"/>
    </xf>
    <xf numFmtId="0" fontId="3" fillId="6" borderId="0" xfId="0" applyFont="1" applyFill="1" applyAlignment="1">
      <alignment horizontal="left" vertical="center" wrapText="1"/>
    </xf>
    <xf numFmtId="0" fontId="13" fillId="0" borderId="0" xfId="0" applyFont="1" applyAlignment="1">
      <alignment horizontal="left"/>
    </xf>
    <xf numFmtId="0" fontId="2" fillId="2" borderId="0" xfId="0" applyFont="1" applyFill="1" applyAlignment="1">
      <alignment horizontal="center" vertical="center" wrapText="1"/>
    </xf>
    <xf numFmtId="0" fontId="0" fillId="0" borderId="0" xfId="0" applyAlignment="1">
      <alignment horizontal="left" vertical="center" wrapText="1"/>
    </xf>
    <xf numFmtId="0" fontId="0" fillId="0" borderId="0" xfId="0" applyAlignment="1">
      <alignment horizontal="right"/>
    </xf>
    <xf numFmtId="0" fontId="3" fillId="0" borderId="0" xfId="0" applyFont="1" applyAlignment="1">
      <alignment horizontal="left" vertical="top" wrapText="1"/>
    </xf>
    <xf numFmtId="0" fontId="0" fillId="0" borderId="0" xfId="0" applyAlignment="1">
      <alignment horizontal="left" wrapText="1"/>
    </xf>
    <xf numFmtId="0" fontId="0" fillId="4" borderId="0" xfId="0" applyFill="1" applyAlignment="1">
      <alignment horizontal="left" vertical="top" wrapText="1"/>
    </xf>
    <xf numFmtId="0" fontId="2"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cellXfs>
  <cellStyles count="3">
    <cellStyle name="Hyperlink" xfId="2" builtinId="8"/>
    <cellStyle name="Normal" xfId="0" builtinId="0"/>
    <cellStyle name="Percent" xfId="1" builtinId="5"/>
  </cellStyles>
  <dxfs count="2">
    <dxf>
      <font>
        <b/>
        <i val="0"/>
        <color rgb="FFFF0000"/>
      </font>
    </dxf>
    <dxf>
      <font>
        <b/>
        <i val="0"/>
        <color theme="9"/>
      </font>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Revenue Mix FY25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Company_Overview!$F$4</c:f>
              <c:strCache>
                <c:ptCount val="1"/>
                <c:pt idx="0">
                  <c:v>Revenue Contribution FY25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72D-43FC-8A74-B1F1DE87F3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72D-43FC-8A74-B1F1DE87F3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72D-43FC-8A74-B1F1DE87F3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72D-43FC-8A74-B1F1DE87F308}"/>
              </c:ext>
            </c:extLst>
          </c:dPt>
          <c:cat>
            <c:strRef>
              <c:f>Company_Overview!$E$5:$E$8</c:f>
              <c:strCache>
                <c:ptCount val="4"/>
                <c:pt idx="0">
                  <c:v>CDMO</c:v>
                </c:pt>
                <c:pt idx="1">
                  <c:v>Prime APIs</c:v>
                </c:pt>
                <c:pt idx="2">
                  <c:v>Specialty APIs</c:v>
                </c:pt>
                <c:pt idx="3">
                  <c:v>Others</c:v>
                </c:pt>
              </c:strCache>
            </c:strRef>
          </c:cat>
          <c:val>
            <c:numRef>
              <c:f>Company_Overview!$F$5:$F$8</c:f>
              <c:numCache>
                <c:formatCode>0%</c:formatCode>
                <c:ptCount val="4"/>
                <c:pt idx="0">
                  <c:v>0.43</c:v>
                </c:pt>
                <c:pt idx="1">
                  <c:v>0.33</c:v>
                </c:pt>
                <c:pt idx="2">
                  <c:v>0.18</c:v>
                </c:pt>
                <c:pt idx="3">
                  <c:v>0.06</c:v>
                </c:pt>
              </c:numCache>
            </c:numRef>
          </c:val>
          <c:extLst>
            <c:ext xmlns:c16="http://schemas.microsoft.com/office/drawing/2014/chart" uri="{C3380CC4-5D6E-409C-BE32-E72D297353CC}">
              <c16:uniqueId val="{00000000-454C-4D6B-9F41-A6CC52B25C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&amp; Net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Historical_Financials!$B$4</c:f>
              <c:strCache>
                <c:ptCount val="1"/>
                <c:pt idx="0">
                  <c:v>Revenue</c:v>
                </c:pt>
              </c:strCache>
            </c:strRef>
          </c:tx>
          <c:spPr>
            <a:ln w="28575" cap="rnd">
              <a:solidFill>
                <a:schemeClr val="accent1"/>
              </a:solidFill>
              <a:round/>
            </a:ln>
            <a:effectLst/>
          </c:spPr>
          <c:marker>
            <c:symbol val="none"/>
          </c:marker>
          <c:cat>
            <c:strRef>
              <c:f>Historical_Financials!$C$3:$G$3</c:f>
              <c:strCache>
                <c:ptCount val="5"/>
                <c:pt idx="0">
                  <c:v>FY22</c:v>
                </c:pt>
                <c:pt idx="1">
                  <c:v>FY23</c:v>
                </c:pt>
                <c:pt idx="2">
                  <c:v>FY24</c:v>
                </c:pt>
                <c:pt idx="3">
                  <c:v>FY25</c:v>
                </c:pt>
                <c:pt idx="4">
                  <c:v>FY26</c:v>
                </c:pt>
              </c:strCache>
            </c:strRef>
          </c:cat>
          <c:val>
            <c:numRef>
              <c:f>Historical_Financials!$C$4:$G$4</c:f>
              <c:numCache>
                <c:formatCode>#,##0</c:formatCode>
                <c:ptCount val="5"/>
                <c:pt idx="0" formatCode="General">
                  <c:v>951</c:v>
                </c:pt>
                <c:pt idx="1">
                  <c:v>1191</c:v>
                </c:pt>
                <c:pt idx="2">
                  <c:v>1559</c:v>
                </c:pt>
                <c:pt idx="3">
                  <c:v>1477</c:v>
                </c:pt>
                <c:pt idx="4">
                  <c:v>2023</c:v>
                </c:pt>
              </c:numCache>
            </c:numRef>
          </c:val>
          <c:smooth val="0"/>
          <c:extLst>
            <c:ext xmlns:c16="http://schemas.microsoft.com/office/drawing/2014/chart" uri="{C3380CC4-5D6E-409C-BE32-E72D297353CC}">
              <c16:uniqueId val="{00000000-BC0F-4C3B-A6CC-AAAC7A7CE165}"/>
            </c:ext>
          </c:extLst>
        </c:ser>
        <c:ser>
          <c:idx val="2"/>
          <c:order val="2"/>
          <c:tx>
            <c:strRef>
              <c:f>Historical_Financials!$B$6</c:f>
              <c:strCache>
                <c:ptCount val="1"/>
                <c:pt idx="0">
                  <c:v>Net Profit</c:v>
                </c:pt>
              </c:strCache>
            </c:strRef>
          </c:tx>
          <c:spPr>
            <a:ln w="28575" cap="rnd">
              <a:solidFill>
                <a:schemeClr val="accent5"/>
              </a:solidFill>
              <a:round/>
            </a:ln>
            <a:effectLst/>
          </c:spPr>
          <c:marker>
            <c:symbol val="none"/>
          </c:marker>
          <c:cat>
            <c:strRef>
              <c:f>Historical_Financials!$C$3:$G$3</c:f>
              <c:strCache>
                <c:ptCount val="5"/>
                <c:pt idx="0">
                  <c:v>FY22</c:v>
                </c:pt>
                <c:pt idx="1">
                  <c:v>FY23</c:v>
                </c:pt>
                <c:pt idx="2">
                  <c:v>FY24</c:v>
                </c:pt>
                <c:pt idx="3">
                  <c:v>FY25</c:v>
                </c:pt>
                <c:pt idx="4">
                  <c:v>FY26</c:v>
                </c:pt>
              </c:strCache>
            </c:strRef>
          </c:cat>
          <c:val>
            <c:numRef>
              <c:f>Historical_Financials!$C$6:$G$6</c:f>
              <c:numCache>
                <c:formatCode>General</c:formatCode>
                <c:ptCount val="5"/>
                <c:pt idx="0">
                  <c:v>64</c:v>
                </c:pt>
                <c:pt idx="1">
                  <c:v>164</c:v>
                </c:pt>
                <c:pt idx="2">
                  <c:v>300</c:v>
                </c:pt>
                <c:pt idx="3">
                  <c:v>260</c:v>
                </c:pt>
                <c:pt idx="4">
                  <c:v>364</c:v>
                </c:pt>
              </c:numCache>
            </c:numRef>
          </c:val>
          <c:smooth val="0"/>
          <c:extLst>
            <c:ext xmlns:c16="http://schemas.microsoft.com/office/drawing/2014/chart" uri="{C3380CC4-5D6E-409C-BE32-E72D297353CC}">
              <c16:uniqueId val="{00000001-BC0F-4C3B-A6CC-AAAC7A7CE165}"/>
            </c:ext>
          </c:extLst>
        </c:ser>
        <c:dLbls>
          <c:showLegendKey val="0"/>
          <c:showVal val="0"/>
          <c:showCatName val="0"/>
          <c:showSerName val="0"/>
          <c:showPercent val="0"/>
          <c:showBubbleSize val="0"/>
        </c:dLbls>
        <c:smooth val="0"/>
        <c:axId val="1181136496"/>
        <c:axId val="1181136976"/>
        <c:extLst>
          <c:ext xmlns:c15="http://schemas.microsoft.com/office/drawing/2012/chart" uri="{02D57815-91ED-43cb-92C2-25804820EDAC}">
            <c15:filteredLineSeries>
              <c15:ser>
                <c:idx val="1"/>
                <c:order val="1"/>
                <c:tx>
                  <c:strRef>
                    <c:extLst>
                      <c:ext uri="{02D57815-91ED-43cb-92C2-25804820EDAC}">
                        <c15:formulaRef>
                          <c15:sqref>Historical_Financials!$B$5</c15:sqref>
                        </c15:formulaRef>
                      </c:ext>
                    </c:extLst>
                    <c:strCache>
                      <c:ptCount val="1"/>
                      <c:pt idx="0">
                        <c:v>Operating Profit</c:v>
                      </c:pt>
                    </c:strCache>
                  </c:strRef>
                </c:tx>
                <c:spPr>
                  <a:ln w="28575" cap="rnd">
                    <a:solidFill>
                      <a:schemeClr val="accent3"/>
                    </a:solidFill>
                    <a:round/>
                  </a:ln>
                  <a:effectLst/>
                </c:spPr>
                <c:marker>
                  <c:symbol val="none"/>
                </c:marker>
                <c:cat>
                  <c:strRef>
                    <c:extLst>
                      <c:ext uri="{02D57815-91ED-43cb-92C2-25804820EDAC}">
                        <c15:formulaRef>
                          <c15:sqref>Historical_Financials!$C$3:$G$3</c15:sqref>
                        </c15:formulaRef>
                      </c:ext>
                    </c:extLst>
                    <c:strCache>
                      <c:ptCount val="5"/>
                      <c:pt idx="0">
                        <c:v>FY22</c:v>
                      </c:pt>
                      <c:pt idx="1">
                        <c:v>FY23</c:v>
                      </c:pt>
                      <c:pt idx="2">
                        <c:v>FY24</c:v>
                      </c:pt>
                      <c:pt idx="3">
                        <c:v>FY25</c:v>
                      </c:pt>
                      <c:pt idx="4">
                        <c:v>FY26</c:v>
                      </c:pt>
                    </c:strCache>
                  </c:strRef>
                </c:cat>
                <c:val>
                  <c:numRef>
                    <c:extLst>
                      <c:ext uri="{02D57815-91ED-43cb-92C2-25804820EDAC}">
                        <c15:formulaRef>
                          <c15:sqref>Historical_Financials!$C$5:$G$5</c15:sqref>
                        </c15:formulaRef>
                      </c:ext>
                    </c:extLst>
                    <c:numCache>
                      <c:formatCode>General</c:formatCode>
                      <c:ptCount val="5"/>
                      <c:pt idx="0">
                        <c:v>144</c:v>
                      </c:pt>
                      <c:pt idx="1">
                        <c:v>273</c:v>
                      </c:pt>
                      <c:pt idx="2">
                        <c:v>463</c:v>
                      </c:pt>
                      <c:pt idx="3">
                        <c:v>331</c:v>
                      </c:pt>
                      <c:pt idx="4">
                        <c:v>574</c:v>
                      </c:pt>
                    </c:numCache>
                  </c:numRef>
                </c:val>
                <c:smooth val="0"/>
                <c:extLst>
                  <c:ext xmlns:c16="http://schemas.microsoft.com/office/drawing/2014/chart" uri="{C3380CC4-5D6E-409C-BE32-E72D297353CC}">
                    <c16:uniqueId val="{00000002-BC0F-4C3B-A6CC-AAAC7A7CE16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Historical_Financials!$B$7</c15:sqref>
                        </c15:formulaRef>
                      </c:ext>
                    </c:extLst>
                    <c:strCache>
                      <c:ptCount val="1"/>
                      <c:pt idx="0">
                        <c:v>EPS</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Historical_Financials!$C$3:$G$3</c15:sqref>
                        </c15:formulaRef>
                      </c:ext>
                    </c:extLst>
                    <c:strCache>
                      <c:ptCount val="5"/>
                      <c:pt idx="0">
                        <c:v>FY22</c:v>
                      </c:pt>
                      <c:pt idx="1">
                        <c:v>FY23</c:v>
                      </c:pt>
                      <c:pt idx="2">
                        <c:v>FY24</c:v>
                      </c:pt>
                      <c:pt idx="3">
                        <c:v>FY25</c:v>
                      </c:pt>
                      <c:pt idx="4">
                        <c:v>FY26</c:v>
                      </c:pt>
                    </c:strCache>
                  </c:strRef>
                </c:cat>
                <c:val>
                  <c:numRef>
                    <c:extLst xmlns:c15="http://schemas.microsoft.com/office/drawing/2012/chart">
                      <c:ext xmlns:c15="http://schemas.microsoft.com/office/drawing/2012/chart" uri="{02D57815-91ED-43cb-92C2-25804820EDAC}">
                        <c15:formulaRef>
                          <c15:sqref>Historical_Financials!$C$7:$G$7</c15:sqref>
                        </c15:formulaRef>
                      </c:ext>
                    </c:extLst>
                    <c:numCache>
                      <c:formatCode>General</c:formatCode>
                      <c:ptCount val="5"/>
                      <c:pt idx="0">
                        <c:v>49.74</c:v>
                      </c:pt>
                      <c:pt idx="1">
                        <c:v>127.45</c:v>
                      </c:pt>
                      <c:pt idx="2">
                        <c:v>233.89</c:v>
                      </c:pt>
                      <c:pt idx="3">
                        <c:v>202.74</c:v>
                      </c:pt>
                      <c:pt idx="4">
                        <c:v>283.70999999999998</c:v>
                      </c:pt>
                    </c:numCache>
                  </c:numRef>
                </c:val>
                <c:smooth val="0"/>
                <c:extLst xmlns:c15="http://schemas.microsoft.com/office/drawing/2012/chart">
                  <c:ext xmlns:c16="http://schemas.microsoft.com/office/drawing/2014/chart" uri="{C3380CC4-5D6E-409C-BE32-E72D297353CC}">
                    <c16:uniqueId val="{00000003-BC0F-4C3B-A6CC-AAAC7A7CE165}"/>
                  </c:ext>
                </c:extLst>
              </c15:ser>
            </c15:filteredLineSeries>
          </c:ext>
        </c:extLst>
      </c:lineChart>
      <c:catAx>
        <c:axId val="11811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36976"/>
        <c:crosses val="autoZero"/>
        <c:auto val="1"/>
        <c:lblAlgn val="ctr"/>
        <c:lblOffset val="100"/>
        <c:noMultiLvlLbl val="0"/>
      </c:catAx>
      <c:valAx>
        <c:axId val="11811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36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83820</xdr:rowOff>
    </xdr:from>
    <xdr:to>
      <xdr:col>4</xdr:col>
      <xdr:colOff>347959</xdr:colOff>
      <xdr:row>2</xdr:row>
      <xdr:rowOff>83820</xdr:rowOff>
    </xdr:to>
    <xdr:pic>
      <xdr:nvPicPr>
        <xdr:cNvPr id="2" name="Picture 1">
          <a:extLst>
            <a:ext uri="{FF2B5EF4-FFF2-40B4-BE49-F238E27FC236}">
              <a16:creationId xmlns:a16="http://schemas.microsoft.com/office/drawing/2014/main" id="{FB50B17E-4851-4DA8-B162-4A3FE1F6EBC1}"/>
            </a:ext>
          </a:extLst>
        </xdr:cNvPr>
        <xdr:cNvPicPr>
          <a:picLocks noChangeAspect="1"/>
        </xdr:cNvPicPr>
      </xdr:nvPicPr>
      <xdr:blipFill rotWithShape="1">
        <a:blip xmlns:r="http://schemas.openxmlformats.org/officeDocument/2006/relationships" r:embed="rId1"/>
        <a:srcRect t="11764"/>
        <a:stretch>
          <a:fillRect/>
        </a:stretch>
      </xdr:blipFill>
      <xdr:spPr>
        <a:xfrm>
          <a:off x="76200" y="83820"/>
          <a:ext cx="1849099" cy="594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822960</xdr:colOff>
      <xdr:row>21</xdr:row>
      <xdr:rowOff>152400</xdr:rowOff>
    </xdr:from>
    <xdr:to>
      <xdr:col>5</xdr:col>
      <xdr:colOff>1737360</xdr:colOff>
      <xdr:row>24</xdr:row>
      <xdr:rowOff>121920</xdr:rowOff>
    </xdr:to>
    <xdr:sp macro="" textlink="">
      <xdr:nvSpPr>
        <xdr:cNvPr id="6" name="Rectangle: Rounded Corners 5">
          <a:extLst>
            <a:ext uri="{FF2B5EF4-FFF2-40B4-BE49-F238E27FC236}">
              <a16:creationId xmlns:a16="http://schemas.microsoft.com/office/drawing/2014/main" id="{EC7BEFD5-6036-3254-6C39-9759ACE53329}"/>
            </a:ext>
          </a:extLst>
        </xdr:cNvPr>
        <xdr:cNvSpPr/>
      </xdr:nvSpPr>
      <xdr:spPr>
        <a:xfrm>
          <a:off x="6515100" y="4358640"/>
          <a:ext cx="91440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Revenue Generation</a:t>
          </a:r>
          <a:endParaRPr lang="en-IN" sz="1100"/>
        </a:p>
      </xdr:txBody>
    </xdr:sp>
    <xdr:clientData/>
  </xdr:twoCellAnchor>
  <xdr:twoCellAnchor>
    <xdr:from>
      <xdr:col>5</xdr:col>
      <xdr:colOff>137160</xdr:colOff>
      <xdr:row>23</xdr:row>
      <xdr:rowOff>15240</xdr:rowOff>
    </xdr:from>
    <xdr:to>
      <xdr:col>5</xdr:col>
      <xdr:colOff>822960</xdr:colOff>
      <xdr:row>23</xdr:row>
      <xdr:rowOff>106680</xdr:rowOff>
    </xdr:to>
    <xdr:sp macro="" textlink="">
      <xdr:nvSpPr>
        <xdr:cNvPr id="13" name="Arrow: Right 12">
          <a:extLst>
            <a:ext uri="{FF2B5EF4-FFF2-40B4-BE49-F238E27FC236}">
              <a16:creationId xmlns:a16="http://schemas.microsoft.com/office/drawing/2014/main" id="{57341AE0-7732-F575-F0DC-23954C4E7267}"/>
            </a:ext>
          </a:extLst>
        </xdr:cNvPr>
        <xdr:cNvSpPr/>
      </xdr:nvSpPr>
      <xdr:spPr>
        <a:xfrm>
          <a:off x="5829300" y="4587240"/>
          <a:ext cx="685800" cy="91440"/>
        </a:xfrm>
        <a:prstGeom prst="rightArrow">
          <a:avLst/>
        </a:prstGeom>
        <a:solidFill>
          <a:schemeClr val="accent1">
            <a:lumMod val="50000"/>
          </a:schemeClr>
        </a:solidFill>
        <a:ln>
          <a:solidFill>
            <a:schemeClr val="accent1">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xdr:colOff>
      <xdr:row>23</xdr:row>
      <xdr:rowOff>15240</xdr:rowOff>
    </xdr:from>
    <xdr:to>
      <xdr:col>4</xdr:col>
      <xdr:colOff>502920</xdr:colOff>
      <xdr:row>23</xdr:row>
      <xdr:rowOff>106680</xdr:rowOff>
    </xdr:to>
    <xdr:sp macro="" textlink="">
      <xdr:nvSpPr>
        <xdr:cNvPr id="12" name="Arrow: Right 11">
          <a:extLst>
            <a:ext uri="{FF2B5EF4-FFF2-40B4-BE49-F238E27FC236}">
              <a16:creationId xmlns:a16="http://schemas.microsoft.com/office/drawing/2014/main" id="{B636EEA1-FAE6-49EE-1881-7B3ED6FE7484}"/>
            </a:ext>
          </a:extLst>
        </xdr:cNvPr>
        <xdr:cNvSpPr/>
      </xdr:nvSpPr>
      <xdr:spPr>
        <a:xfrm>
          <a:off x="3741420" y="4587240"/>
          <a:ext cx="685800" cy="91440"/>
        </a:xfrm>
        <a:prstGeom prst="rightArrow">
          <a:avLst/>
        </a:prstGeom>
        <a:solidFill>
          <a:schemeClr val="accent1">
            <a:lumMod val="50000"/>
          </a:schemeClr>
        </a:solidFill>
        <a:ln>
          <a:solidFill>
            <a:schemeClr val="accent1">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21</xdr:row>
      <xdr:rowOff>137160</xdr:rowOff>
    </xdr:from>
    <xdr:to>
      <xdr:col>3</xdr:col>
      <xdr:colOff>83820</xdr:colOff>
      <xdr:row>24</xdr:row>
      <xdr:rowOff>106680</xdr:rowOff>
    </xdr:to>
    <xdr:sp macro="" textlink="">
      <xdr:nvSpPr>
        <xdr:cNvPr id="4" name="Rectangle: Rounded Corners 3">
          <a:extLst>
            <a:ext uri="{FF2B5EF4-FFF2-40B4-BE49-F238E27FC236}">
              <a16:creationId xmlns:a16="http://schemas.microsoft.com/office/drawing/2014/main" id="{8D5CACCC-17DC-A3FD-F6DF-879B54BF77C1}"/>
            </a:ext>
          </a:extLst>
        </xdr:cNvPr>
        <xdr:cNvSpPr/>
      </xdr:nvSpPr>
      <xdr:spPr>
        <a:xfrm>
          <a:off x="2247900" y="4343400"/>
          <a:ext cx="153162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Neuland Laboratories</a:t>
          </a:r>
          <a:br>
            <a:rPr lang="en-IN"/>
          </a:br>
          <a:r>
            <a:rPr lang="en-IN"/>
            <a:t>(API + CDMO)</a:t>
          </a:r>
          <a:endParaRPr lang="en-IN" sz="1100"/>
        </a:p>
      </xdr:txBody>
    </xdr:sp>
    <xdr:clientData/>
  </xdr:twoCellAnchor>
  <xdr:twoCellAnchor>
    <xdr:from>
      <xdr:col>1</xdr:col>
      <xdr:colOff>1394460</xdr:colOff>
      <xdr:row>22</xdr:row>
      <xdr:rowOff>167640</xdr:rowOff>
    </xdr:from>
    <xdr:to>
      <xdr:col>2</xdr:col>
      <xdr:colOff>312420</xdr:colOff>
      <xdr:row>23</xdr:row>
      <xdr:rowOff>76200</xdr:rowOff>
    </xdr:to>
    <xdr:sp macro="" textlink="">
      <xdr:nvSpPr>
        <xdr:cNvPr id="11" name="Arrow: Right 10">
          <a:extLst>
            <a:ext uri="{FF2B5EF4-FFF2-40B4-BE49-F238E27FC236}">
              <a16:creationId xmlns:a16="http://schemas.microsoft.com/office/drawing/2014/main" id="{6F2B034E-DAF5-D499-3117-6060DAE4AB70}"/>
            </a:ext>
          </a:extLst>
        </xdr:cNvPr>
        <xdr:cNvSpPr/>
      </xdr:nvSpPr>
      <xdr:spPr>
        <a:xfrm>
          <a:off x="1554480" y="4556760"/>
          <a:ext cx="685800" cy="91440"/>
        </a:xfrm>
        <a:prstGeom prst="rightArrow">
          <a:avLst/>
        </a:prstGeom>
        <a:solidFill>
          <a:schemeClr val="accent1">
            <a:lumMod val="50000"/>
          </a:schemeClr>
        </a:solidFill>
        <a:ln>
          <a:solidFill>
            <a:schemeClr val="accent1">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76200</xdr:colOff>
      <xdr:row>0</xdr:row>
      <xdr:rowOff>175260</xdr:rowOff>
    </xdr:from>
    <xdr:to>
      <xdr:col>12</xdr:col>
      <xdr:colOff>68580</xdr:colOff>
      <xdr:row>10</xdr:row>
      <xdr:rowOff>175260</xdr:rowOff>
    </xdr:to>
    <xdr:graphicFrame macro="">
      <xdr:nvGraphicFramePr>
        <xdr:cNvPr id="2" name="Chart 1">
          <a:extLst>
            <a:ext uri="{FF2B5EF4-FFF2-40B4-BE49-F238E27FC236}">
              <a16:creationId xmlns:a16="http://schemas.microsoft.com/office/drawing/2014/main" id="{0DD15921-AD60-0C9E-0914-64F996791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83820</xdr:colOff>
      <xdr:row>21</xdr:row>
      <xdr:rowOff>121920</xdr:rowOff>
    </xdr:from>
    <xdr:to>
      <xdr:col>1</xdr:col>
      <xdr:colOff>1455420</xdr:colOff>
      <xdr:row>24</xdr:row>
      <xdr:rowOff>91440</xdr:rowOff>
    </xdr:to>
    <xdr:sp macro="" textlink="">
      <xdr:nvSpPr>
        <xdr:cNvPr id="3" name="Rectangle: Rounded Corners 2">
          <a:extLst>
            <a:ext uri="{FF2B5EF4-FFF2-40B4-BE49-F238E27FC236}">
              <a16:creationId xmlns:a16="http://schemas.microsoft.com/office/drawing/2014/main" id="{86360FC7-1795-CF87-22A4-9613C9F42900}"/>
            </a:ext>
          </a:extLst>
        </xdr:cNvPr>
        <xdr:cNvSpPr/>
      </xdr:nvSpPr>
      <xdr:spPr>
        <a:xfrm>
          <a:off x="243840" y="4328160"/>
          <a:ext cx="137160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Global Pharma &amp;</a:t>
          </a:r>
          <a:br>
            <a:rPr lang="en-IN"/>
          </a:br>
          <a:r>
            <a:rPr lang="en-IN"/>
            <a:t>Biotech Companies</a:t>
          </a:r>
          <a:endParaRPr lang="en-IN" sz="1100"/>
        </a:p>
      </xdr:txBody>
    </xdr:sp>
    <xdr:clientData/>
  </xdr:twoCellAnchor>
  <xdr:twoCellAnchor>
    <xdr:from>
      <xdr:col>4</xdr:col>
      <xdr:colOff>510540</xdr:colOff>
      <xdr:row>21</xdr:row>
      <xdr:rowOff>152400</xdr:rowOff>
    </xdr:from>
    <xdr:to>
      <xdr:col>5</xdr:col>
      <xdr:colOff>259080</xdr:colOff>
      <xdr:row>24</xdr:row>
      <xdr:rowOff>121920</xdr:rowOff>
    </xdr:to>
    <xdr:sp macro="" textlink="">
      <xdr:nvSpPr>
        <xdr:cNvPr id="5" name="Rectangle: Rounded Corners 4">
          <a:extLst>
            <a:ext uri="{FF2B5EF4-FFF2-40B4-BE49-F238E27FC236}">
              <a16:creationId xmlns:a16="http://schemas.microsoft.com/office/drawing/2014/main" id="{CD7F40F7-6CF1-B6BA-5C79-D4CFEBD70528}"/>
            </a:ext>
          </a:extLst>
        </xdr:cNvPr>
        <xdr:cNvSpPr/>
      </xdr:nvSpPr>
      <xdr:spPr>
        <a:xfrm>
          <a:off x="4434840" y="4358640"/>
          <a:ext cx="15163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Manufacturing &amp;</a:t>
          </a:r>
          <a:br>
            <a:rPr lang="en-IN"/>
          </a:br>
          <a:r>
            <a:rPr lang="en-IN"/>
            <a:t>Development Services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560294</xdr:colOff>
      <xdr:row>1</xdr:row>
      <xdr:rowOff>44824</xdr:rowOff>
    </xdr:from>
    <xdr:to>
      <xdr:col>15</xdr:col>
      <xdr:colOff>8666</xdr:colOff>
      <xdr:row>14</xdr:row>
      <xdr:rowOff>6127</xdr:rowOff>
    </xdr:to>
    <xdr:graphicFrame macro="">
      <xdr:nvGraphicFramePr>
        <xdr:cNvPr id="2" name="Chart 1">
          <a:extLst>
            <a:ext uri="{FF2B5EF4-FFF2-40B4-BE49-F238E27FC236}">
              <a16:creationId xmlns:a16="http://schemas.microsoft.com/office/drawing/2014/main" id="{E6F854C9-9C9A-4DD1-90B9-AC33FBA33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A6413-4606-4C71-8C76-2CC3B6A9F427}">
  <sheetPr>
    <pageSetUpPr autoPageBreaks="0"/>
  </sheetPr>
  <dimension ref="A1:L18"/>
  <sheetViews>
    <sheetView showGridLines="0" zoomScaleNormal="100" workbookViewId="0">
      <selection activeCell="F27" sqref="F27"/>
    </sheetView>
  </sheetViews>
  <sheetFormatPr defaultRowHeight="14.4" x14ac:dyDescent="0.3"/>
  <cols>
    <col min="1" max="1" width="2.6640625" style="44" customWidth="1"/>
    <col min="2" max="3" width="8.88671875" style="44"/>
    <col min="4" max="4" width="2.5546875" style="44" customWidth="1"/>
    <col min="5" max="5" width="7" style="44" customWidth="1"/>
    <col min="6" max="6" width="15.77734375" style="44" customWidth="1"/>
    <col min="7" max="7" width="28.21875" style="44" customWidth="1"/>
    <col min="8" max="8" width="8.88671875" style="44"/>
    <col min="9" max="10" width="15.77734375" style="44" customWidth="1"/>
    <col min="11" max="16384" width="8.88671875" style="44"/>
  </cols>
  <sheetData>
    <row r="1" spans="1:10" ht="28.8" x14ac:dyDescent="0.55000000000000004">
      <c r="A1" s="47"/>
      <c r="B1" s="45"/>
      <c r="C1" s="45"/>
      <c r="D1" s="46"/>
      <c r="E1" s="45"/>
      <c r="F1" s="46" t="s">
        <v>124</v>
      </c>
      <c r="G1" s="47"/>
      <c r="H1" s="47"/>
      <c r="I1" s="45"/>
      <c r="J1" s="62"/>
    </row>
    <row r="2" spans="1:10" ht="18" x14ac:dyDescent="0.35">
      <c r="A2" s="47"/>
      <c r="B2" s="45"/>
      <c r="C2" s="45"/>
      <c r="D2" s="47"/>
      <c r="E2" s="45"/>
      <c r="F2" s="48" t="s">
        <v>112</v>
      </c>
      <c r="G2" s="47"/>
      <c r="H2" s="47"/>
      <c r="I2" s="45"/>
      <c r="J2" s="62"/>
    </row>
    <row r="3" spans="1:10" x14ac:dyDescent="0.3">
      <c r="A3" s="45"/>
      <c r="B3" s="45"/>
      <c r="C3" s="45"/>
      <c r="D3" s="45"/>
      <c r="E3" s="45"/>
      <c r="F3" s="45"/>
      <c r="G3" s="45"/>
      <c r="H3" s="45"/>
      <c r="I3" s="45"/>
      <c r="J3" s="62"/>
    </row>
    <row r="5" spans="1:10" x14ac:dyDescent="0.3">
      <c r="B5" s="53" t="s">
        <v>113</v>
      </c>
      <c r="F5" s="94" t="s">
        <v>125</v>
      </c>
      <c r="G5" s="94"/>
      <c r="I5" s="52" t="s">
        <v>135</v>
      </c>
      <c r="J5" s="58" t="s">
        <v>4</v>
      </c>
    </row>
    <row r="6" spans="1:10" x14ac:dyDescent="0.3">
      <c r="B6" s="63" t="s">
        <v>114</v>
      </c>
      <c r="C6" s="53"/>
      <c r="F6" s="51" t="s">
        <v>82</v>
      </c>
      <c r="G6" s="51" t="s">
        <v>126</v>
      </c>
      <c r="I6" s="59" t="s">
        <v>110</v>
      </c>
      <c r="J6" s="60" t="s">
        <v>111</v>
      </c>
    </row>
    <row r="7" spans="1:10" x14ac:dyDescent="0.3">
      <c r="B7" s="63" t="s">
        <v>115</v>
      </c>
      <c r="C7" s="53"/>
      <c r="F7" s="51" t="s">
        <v>106</v>
      </c>
      <c r="G7" s="51" t="s">
        <v>107</v>
      </c>
      <c r="I7" s="59" t="s">
        <v>136</v>
      </c>
      <c r="J7" s="61">
        <v>0.26600000000000001</v>
      </c>
    </row>
    <row r="8" spans="1:10" x14ac:dyDescent="0.3">
      <c r="B8" s="63" t="s">
        <v>116</v>
      </c>
      <c r="C8" s="53"/>
      <c r="F8" s="51" t="s">
        <v>127</v>
      </c>
      <c r="G8" s="51" t="s">
        <v>128</v>
      </c>
      <c r="I8" s="59" t="s">
        <v>31</v>
      </c>
      <c r="J8" s="61">
        <v>0.17</v>
      </c>
    </row>
    <row r="9" spans="1:10" x14ac:dyDescent="0.3">
      <c r="B9" s="63" t="s">
        <v>117</v>
      </c>
      <c r="C9" s="53"/>
      <c r="F9" s="54" t="s">
        <v>134</v>
      </c>
      <c r="G9" s="55">
        <v>46174</v>
      </c>
      <c r="I9" s="59" t="s">
        <v>5</v>
      </c>
      <c r="J9" s="60" t="s">
        <v>137</v>
      </c>
    </row>
    <row r="10" spans="1:10" x14ac:dyDescent="0.3">
      <c r="B10" s="63" t="s">
        <v>118</v>
      </c>
      <c r="C10" s="53"/>
      <c r="F10" s="51" t="s">
        <v>129</v>
      </c>
      <c r="G10" s="51" t="s">
        <v>130</v>
      </c>
    </row>
    <row r="11" spans="1:10" x14ac:dyDescent="0.3">
      <c r="B11" s="63" t="s">
        <v>119</v>
      </c>
      <c r="C11" s="53"/>
      <c r="F11" s="51" t="s">
        <v>131</v>
      </c>
      <c r="G11" s="51" t="s">
        <v>132</v>
      </c>
    </row>
    <row r="12" spans="1:10" x14ac:dyDescent="0.3">
      <c r="B12" s="63" t="s">
        <v>120</v>
      </c>
      <c r="C12" s="53"/>
    </row>
    <row r="13" spans="1:10" x14ac:dyDescent="0.3">
      <c r="B13" s="63" t="s">
        <v>121</v>
      </c>
      <c r="C13" s="53"/>
    </row>
    <row r="14" spans="1:10" x14ac:dyDescent="0.3">
      <c r="B14" s="63" t="s">
        <v>122</v>
      </c>
      <c r="C14" s="53"/>
    </row>
    <row r="15" spans="1:10" x14ac:dyDescent="0.3">
      <c r="B15" s="53" t="s">
        <v>123</v>
      </c>
      <c r="C15" s="53"/>
    </row>
    <row r="18" spans="2:12" x14ac:dyDescent="0.3">
      <c r="B18" s="95" t="s">
        <v>133</v>
      </c>
      <c r="C18" s="95"/>
      <c r="D18" s="95"/>
      <c r="E18" s="95"/>
      <c r="F18" s="95"/>
      <c r="G18" s="95"/>
      <c r="H18" s="95"/>
      <c r="I18" s="95"/>
      <c r="J18" s="95"/>
      <c r="K18" s="56"/>
      <c r="L18" s="56"/>
    </row>
  </sheetData>
  <mergeCells count="2">
    <mergeCell ref="F5:G5"/>
    <mergeCell ref="B18:J18"/>
  </mergeCells>
  <hyperlinks>
    <hyperlink ref="B6" location="Company_Overview!A1" display="1. Company Overview" xr:uid="{9DC22C19-C4DB-4E70-B9EE-F88951C938F6}"/>
    <hyperlink ref="B7" location="Industry_Analysis!A1" display="2. Industry Analysis" xr:uid="{D9D4A1EF-81A2-41C8-A646-F5763DFF3FF3}"/>
    <hyperlink ref="B8" location="Historical_Financials!A1" display="3. Historical Financials" xr:uid="{980A4752-929D-4AF3-BA7D-25C7E1146FBC}"/>
    <hyperlink ref="B9" location="Ratio_Analysis!A1" display="4. Ratio Analysis" xr:uid="{EC1FBDCC-EF26-48E1-8212-80C8169ECE36}"/>
    <hyperlink ref="B10" location="Investment_Thesis!A1" display="5. Investment Thesis" xr:uid="{EE709069-B57C-4CEC-9924-729CAC4E31FC}"/>
    <hyperlink ref="B11" location="Forecasts!A1" display="6. Forecasts" xr:uid="{DC1B34B4-2862-45F8-9309-2EEB135CAAF7}"/>
    <hyperlink ref="B12" location="DCF!A1" display="7. DCF Valuation" xr:uid="{F1E738CE-796E-4618-B12D-AD842B8DAE6C}"/>
    <hyperlink ref="B13" location="Comparable_Valuation!A1" display="8. Comparable Valuation" xr:uid="{07DE30C3-96D9-460A-AF70-DC09D5FD7C47}"/>
    <hyperlink ref="B14" location="Sensitivity!A1" display="9. Sensitivity Analysis" xr:uid="{B9AD768A-9D9C-451B-AAF3-1FC1C521D135}"/>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4"/>
  <sheetViews>
    <sheetView showGridLines="0" zoomScale="70" workbookViewId="0">
      <selection activeCell="F34" sqref="F34"/>
    </sheetView>
  </sheetViews>
  <sheetFormatPr defaultRowHeight="14.4" x14ac:dyDescent="0.3"/>
  <cols>
    <col min="1" max="1" width="2.33203125" customWidth="1"/>
    <col min="2" max="3" width="25.77734375" customWidth="1"/>
    <col min="4" max="4" width="3.33203125" customWidth="1"/>
    <col min="5" max="6" width="25.77734375" customWidth="1"/>
  </cols>
  <sheetData>
    <row r="2" spans="2:6" x14ac:dyDescent="0.3">
      <c r="B2" s="96" t="s">
        <v>145</v>
      </c>
      <c r="C2" s="96"/>
      <c r="E2" s="87" t="s">
        <v>146</v>
      </c>
      <c r="F2" s="87"/>
    </row>
    <row r="4" spans="2:6" x14ac:dyDescent="0.3">
      <c r="B4" s="65" t="s">
        <v>100</v>
      </c>
      <c r="C4" s="43" t="s">
        <v>101</v>
      </c>
      <c r="E4" s="31" t="s">
        <v>139</v>
      </c>
      <c r="F4" s="31" t="s">
        <v>144</v>
      </c>
    </row>
    <row r="5" spans="2:6" x14ac:dyDescent="0.3">
      <c r="B5" s="65" t="s">
        <v>102</v>
      </c>
      <c r="C5" s="43">
        <v>1984</v>
      </c>
      <c r="E5" s="1" t="s">
        <v>140</v>
      </c>
      <c r="F5" s="66">
        <v>0.43</v>
      </c>
    </row>
    <row r="6" spans="2:6" x14ac:dyDescent="0.3">
      <c r="B6" s="65" t="s">
        <v>155</v>
      </c>
      <c r="C6" s="43" t="s">
        <v>103</v>
      </c>
      <c r="E6" s="1" t="s">
        <v>141</v>
      </c>
      <c r="F6" s="66">
        <v>0.33</v>
      </c>
    </row>
    <row r="7" spans="2:6" x14ac:dyDescent="0.3">
      <c r="B7" s="65" t="s">
        <v>104</v>
      </c>
      <c r="C7" s="43" t="s">
        <v>105</v>
      </c>
      <c r="E7" s="1" t="s">
        <v>142</v>
      </c>
      <c r="F7" s="66">
        <v>0.18</v>
      </c>
    </row>
    <row r="8" spans="2:6" x14ac:dyDescent="0.3">
      <c r="B8" s="65" t="s">
        <v>106</v>
      </c>
      <c r="C8" s="43" t="s">
        <v>107</v>
      </c>
      <c r="E8" s="1" t="s">
        <v>143</v>
      </c>
      <c r="F8" s="66">
        <v>0.06</v>
      </c>
    </row>
    <row r="9" spans="2:6" x14ac:dyDescent="0.3">
      <c r="B9" s="65" t="s">
        <v>108</v>
      </c>
      <c r="C9" s="43" t="s">
        <v>109</v>
      </c>
    </row>
    <row r="10" spans="2:6" x14ac:dyDescent="0.3">
      <c r="B10" s="65" t="s">
        <v>110</v>
      </c>
      <c r="C10" s="43" t="s">
        <v>111</v>
      </c>
    </row>
    <row r="11" spans="2:6" x14ac:dyDescent="0.3">
      <c r="B11" s="65" t="s">
        <v>138</v>
      </c>
      <c r="C11" s="64">
        <v>17016</v>
      </c>
    </row>
    <row r="13" spans="2:6" x14ac:dyDescent="0.3">
      <c r="B13" s="96" t="s">
        <v>147</v>
      </c>
      <c r="C13" s="96"/>
      <c r="E13" s="96" t="s">
        <v>153</v>
      </c>
      <c r="F13" s="96"/>
    </row>
    <row r="14" spans="2:6" x14ac:dyDescent="0.3">
      <c r="E14" s="97" t="s">
        <v>156</v>
      </c>
      <c r="F14" s="97"/>
    </row>
    <row r="15" spans="2:6" x14ac:dyDescent="0.3">
      <c r="B15" s="31" t="s">
        <v>139</v>
      </c>
      <c r="C15" s="31" t="s">
        <v>148</v>
      </c>
      <c r="E15" s="97"/>
      <c r="F15" s="97"/>
    </row>
    <row r="16" spans="2:6" ht="28.8" x14ac:dyDescent="0.3">
      <c r="B16" s="43" t="s">
        <v>149</v>
      </c>
      <c r="C16" s="43" t="s">
        <v>150</v>
      </c>
      <c r="E16" s="97"/>
      <c r="F16" s="97"/>
    </row>
    <row r="17" spans="2:11" x14ac:dyDescent="0.3">
      <c r="B17" s="43" t="s">
        <v>142</v>
      </c>
      <c r="C17" s="43" t="s">
        <v>151</v>
      </c>
      <c r="E17" s="97"/>
      <c r="F17" s="97"/>
    </row>
    <row r="18" spans="2:11" ht="28.8" x14ac:dyDescent="0.3">
      <c r="B18" s="43" t="s">
        <v>140</v>
      </c>
      <c r="C18" s="43" t="s">
        <v>152</v>
      </c>
      <c r="E18" s="97"/>
      <c r="F18" s="97"/>
    </row>
    <row r="20" spans="2:11" ht="14.4" customHeight="1" x14ac:dyDescent="0.3">
      <c r="B20" s="96" t="s">
        <v>154</v>
      </c>
      <c r="C20" s="96"/>
      <c r="D20" s="96"/>
      <c r="E20" s="96"/>
      <c r="F20" s="96"/>
    </row>
    <row r="27" spans="2:11" ht="14.4" customHeight="1" x14ac:dyDescent="0.3">
      <c r="B27" s="88" t="s">
        <v>157</v>
      </c>
      <c r="C27" s="88"/>
      <c r="D27" s="88"/>
      <c r="E27" s="88"/>
      <c r="F27" s="88"/>
    </row>
    <row r="28" spans="2:11" x14ac:dyDescent="0.3">
      <c r="B28" s="88"/>
      <c r="C28" s="88"/>
      <c r="D28" s="88"/>
      <c r="E28" s="88"/>
      <c r="F28" s="88"/>
    </row>
    <row r="29" spans="2:11" x14ac:dyDescent="0.3">
      <c r="B29" s="88"/>
      <c r="C29" s="88"/>
      <c r="D29" s="88"/>
      <c r="E29" s="88"/>
      <c r="F29" s="88"/>
    </row>
    <row r="32" spans="2:11" x14ac:dyDescent="0.3">
      <c r="G32" s="88"/>
      <c r="H32" s="88"/>
      <c r="I32" s="88"/>
      <c r="J32" s="88"/>
      <c r="K32" s="88"/>
    </row>
    <row r="33" spans="7:11" x14ac:dyDescent="0.3">
      <c r="G33" s="88"/>
      <c r="H33" s="88"/>
      <c r="I33" s="88"/>
      <c r="J33" s="88"/>
      <c r="K33" s="88"/>
    </row>
    <row r="34" spans="7:11" x14ac:dyDescent="0.3">
      <c r="G34" s="88"/>
      <c r="H34" s="88"/>
      <c r="I34" s="88"/>
      <c r="J34" s="88"/>
      <c r="K34" s="88"/>
    </row>
  </sheetData>
  <mergeCells count="8">
    <mergeCell ref="B27:F29"/>
    <mergeCell ref="G32:K34"/>
    <mergeCell ref="B2:C2"/>
    <mergeCell ref="E2:F2"/>
    <mergeCell ref="B13:C13"/>
    <mergeCell ref="E13:F13"/>
    <mergeCell ref="E14:F18"/>
    <mergeCell ref="B20:F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A1B3-17CE-4646-80A9-5B031EF3912B}">
  <dimension ref="B2:U24"/>
  <sheetViews>
    <sheetView showGridLines="0" workbookViewId="0">
      <selection activeCell="Q25" sqref="Q25"/>
    </sheetView>
  </sheetViews>
  <sheetFormatPr defaultRowHeight="14.4" x14ac:dyDescent="0.3"/>
  <cols>
    <col min="1" max="1" width="2.33203125" customWidth="1"/>
    <col min="7" max="7" width="3.88671875" customWidth="1"/>
  </cols>
  <sheetData>
    <row r="2" spans="2:21" x14ac:dyDescent="0.3">
      <c r="B2" s="87" t="s">
        <v>158</v>
      </c>
      <c r="C2" s="87"/>
      <c r="D2" s="87"/>
      <c r="E2" s="87"/>
      <c r="F2" s="87"/>
      <c r="G2" s="87"/>
      <c r="H2" s="87"/>
      <c r="I2" s="87"/>
      <c r="J2" s="87"/>
      <c r="K2" s="87"/>
      <c r="M2" s="87" t="s">
        <v>159</v>
      </c>
      <c r="N2" s="87"/>
      <c r="O2" s="87"/>
      <c r="P2" s="87"/>
      <c r="Q2" s="87"/>
      <c r="R2" s="87"/>
      <c r="S2" s="87"/>
      <c r="T2" s="87"/>
      <c r="U2" s="87"/>
    </row>
    <row r="3" spans="2:21" ht="14.4" customHeight="1" x14ac:dyDescent="0.3">
      <c r="B3" s="88" t="s">
        <v>162</v>
      </c>
      <c r="C3" s="88"/>
      <c r="D3" s="88"/>
      <c r="E3" s="88"/>
      <c r="F3" s="88"/>
      <c r="G3" s="88"/>
      <c r="H3" s="88"/>
      <c r="I3" s="88"/>
      <c r="J3" s="88"/>
      <c r="K3" s="88"/>
      <c r="M3" s="88" t="s">
        <v>163</v>
      </c>
      <c r="N3" s="88"/>
      <c r="O3" s="88"/>
      <c r="P3" s="88"/>
      <c r="Q3" s="88"/>
      <c r="R3" s="88"/>
      <c r="S3" s="88"/>
      <c r="T3" s="88"/>
      <c r="U3" s="88"/>
    </row>
    <row r="4" spans="2:21" x14ac:dyDescent="0.3">
      <c r="B4" s="88"/>
      <c r="C4" s="88"/>
      <c r="D4" s="88"/>
      <c r="E4" s="88"/>
      <c r="F4" s="88"/>
      <c r="G4" s="88"/>
      <c r="H4" s="88"/>
      <c r="I4" s="88"/>
      <c r="J4" s="88"/>
      <c r="K4" s="88"/>
      <c r="M4" s="88"/>
      <c r="N4" s="88"/>
      <c r="O4" s="88"/>
      <c r="P4" s="88"/>
      <c r="Q4" s="88"/>
      <c r="R4" s="88"/>
      <c r="S4" s="88"/>
      <c r="T4" s="88"/>
      <c r="U4" s="88"/>
    </row>
    <row r="5" spans="2:21" x14ac:dyDescent="0.3">
      <c r="B5" s="88"/>
      <c r="C5" s="88"/>
      <c r="D5" s="88"/>
      <c r="E5" s="88"/>
      <c r="F5" s="88"/>
      <c r="G5" s="88"/>
      <c r="H5" s="88"/>
      <c r="I5" s="88"/>
      <c r="J5" s="88"/>
      <c r="K5" s="88"/>
      <c r="M5" s="88"/>
      <c r="N5" s="88"/>
      <c r="O5" s="88"/>
      <c r="P5" s="88"/>
      <c r="Q5" s="88"/>
      <c r="R5" s="88"/>
      <c r="S5" s="88"/>
      <c r="T5" s="88"/>
      <c r="U5" s="88"/>
    </row>
    <row r="6" spans="2:21" x14ac:dyDescent="0.3">
      <c r="B6" s="88"/>
      <c r="C6" s="88"/>
      <c r="D6" s="88"/>
      <c r="E6" s="88"/>
      <c r="F6" s="88"/>
      <c r="G6" s="88"/>
      <c r="H6" s="88"/>
      <c r="I6" s="88"/>
      <c r="J6" s="88"/>
      <c r="K6" s="88"/>
      <c r="M6" s="88"/>
      <c r="N6" s="88"/>
      <c r="O6" s="88"/>
      <c r="P6" s="88"/>
      <c r="Q6" s="88"/>
      <c r="R6" s="88"/>
      <c r="S6" s="88"/>
      <c r="T6" s="88"/>
      <c r="U6" s="88"/>
    </row>
    <row r="7" spans="2:21" x14ac:dyDescent="0.3">
      <c r="B7" s="88"/>
      <c r="C7" s="88"/>
      <c r="D7" s="88"/>
      <c r="E7" s="88"/>
      <c r="F7" s="88"/>
      <c r="G7" s="88"/>
      <c r="H7" s="88"/>
      <c r="I7" s="88"/>
      <c r="J7" s="88"/>
      <c r="K7" s="88"/>
      <c r="M7" s="88"/>
      <c r="N7" s="88"/>
      <c r="O7" s="88"/>
      <c r="P7" s="88"/>
      <c r="Q7" s="88"/>
      <c r="R7" s="88"/>
      <c r="S7" s="88"/>
      <c r="T7" s="88"/>
      <c r="U7" s="88"/>
    </row>
    <row r="8" spans="2:21" x14ac:dyDescent="0.3">
      <c r="B8" s="88"/>
      <c r="C8" s="88"/>
      <c r="D8" s="88"/>
      <c r="E8" s="88"/>
      <c r="F8" s="88"/>
      <c r="G8" s="88"/>
      <c r="H8" s="88"/>
      <c r="I8" s="88"/>
      <c r="J8" s="88"/>
      <c r="K8" s="88"/>
      <c r="M8" s="88"/>
      <c r="N8" s="88"/>
      <c r="O8" s="88"/>
      <c r="P8" s="88"/>
      <c r="Q8" s="88"/>
      <c r="R8" s="88"/>
      <c r="S8" s="88"/>
      <c r="T8" s="88"/>
      <c r="U8" s="88"/>
    </row>
    <row r="9" spans="2:21" x14ac:dyDescent="0.3">
      <c r="B9" s="67"/>
      <c r="C9" s="67"/>
      <c r="D9" s="67"/>
      <c r="E9" s="67"/>
      <c r="F9" s="67"/>
      <c r="G9" s="67"/>
      <c r="H9" s="67"/>
      <c r="I9" s="67"/>
      <c r="J9" s="67"/>
      <c r="K9" s="67"/>
      <c r="M9" s="88"/>
      <c r="N9" s="88"/>
      <c r="O9" s="88"/>
      <c r="P9" s="88"/>
      <c r="Q9" s="88"/>
      <c r="R9" s="88"/>
      <c r="S9" s="88"/>
      <c r="T9" s="88"/>
      <c r="U9" s="88"/>
    </row>
    <row r="10" spans="2:21" x14ac:dyDescent="0.3">
      <c r="B10" s="87" t="s">
        <v>160</v>
      </c>
      <c r="C10" s="87"/>
      <c r="D10" s="87"/>
      <c r="E10" s="87"/>
      <c r="F10" s="87"/>
      <c r="G10" s="87"/>
      <c r="H10" s="87"/>
      <c r="I10" s="87"/>
      <c r="J10" s="87"/>
      <c r="K10" s="87"/>
      <c r="M10" s="88"/>
      <c r="N10" s="88"/>
      <c r="O10" s="88"/>
      <c r="P10" s="88"/>
      <c r="Q10" s="88"/>
      <c r="R10" s="88"/>
      <c r="S10" s="88"/>
      <c r="T10" s="88"/>
      <c r="U10" s="88"/>
    </row>
    <row r="11" spans="2:21" ht="14.4" customHeight="1" x14ac:dyDescent="0.3">
      <c r="B11" s="88" t="s">
        <v>164</v>
      </c>
      <c r="C11" s="88"/>
      <c r="D11" s="88"/>
      <c r="E11" s="88"/>
      <c r="F11" s="88"/>
      <c r="G11" s="88"/>
      <c r="H11" s="88"/>
      <c r="I11" s="88"/>
      <c r="J11" s="88"/>
      <c r="K11" s="88"/>
      <c r="M11" s="88"/>
      <c r="N11" s="88"/>
      <c r="O11" s="88"/>
      <c r="P11" s="88"/>
      <c r="Q11" s="88"/>
      <c r="R11" s="88"/>
      <c r="S11" s="88"/>
      <c r="T11" s="88"/>
      <c r="U11" s="88"/>
    </row>
    <row r="12" spans="2:21" x14ac:dyDescent="0.3">
      <c r="B12" s="88"/>
      <c r="C12" s="88"/>
      <c r="D12" s="88"/>
      <c r="E12" s="88"/>
      <c r="F12" s="88"/>
      <c r="G12" s="88"/>
      <c r="H12" s="88"/>
      <c r="I12" s="88"/>
      <c r="J12" s="88"/>
      <c r="K12" s="88"/>
      <c r="M12" s="87" t="s">
        <v>166</v>
      </c>
      <c r="N12" s="87"/>
      <c r="O12" s="87"/>
      <c r="P12" s="87"/>
      <c r="Q12" s="87"/>
      <c r="R12" s="87"/>
      <c r="S12" s="87"/>
      <c r="T12" s="87"/>
      <c r="U12" s="87"/>
    </row>
    <row r="13" spans="2:21" x14ac:dyDescent="0.3">
      <c r="B13" s="88"/>
      <c r="C13" s="88"/>
      <c r="D13" s="88"/>
      <c r="E13" s="88"/>
      <c r="F13" s="88"/>
      <c r="G13" s="88"/>
      <c r="H13" s="88"/>
      <c r="I13" s="88"/>
      <c r="J13" s="88"/>
      <c r="K13" s="88"/>
      <c r="M13" s="88" t="s">
        <v>167</v>
      </c>
      <c r="N13" s="88"/>
      <c r="O13" s="88"/>
      <c r="P13" s="88"/>
      <c r="Q13" s="88"/>
      <c r="R13" s="88"/>
      <c r="S13" s="88"/>
      <c r="T13" s="88"/>
      <c r="U13" s="88"/>
    </row>
    <row r="14" spans="2:21" x14ac:dyDescent="0.3">
      <c r="B14" s="67"/>
      <c r="C14" s="67"/>
      <c r="D14" s="67"/>
      <c r="E14" s="67"/>
      <c r="F14" s="67"/>
      <c r="G14" s="67"/>
      <c r="H14" s="67"/>
      <c r="I14" s="67"/>
      <c r="J14" s="67"/>
      <c r="K14" s="67"/>
      <c r="M14" s="88"/>
      <c r="N14" s="88"/>
      <c r="O14" s="88"/>
      <c r="P14" s="88"/>
      <c r="Q14" s="88"/>
      <c r="R14" s="88"/>
      <c r="S14" s="88"/>
      <c r="T14" s="88"/>
      <c r="U14" s="88"/>
    </row>
    <row r="15" spans="2:21" x14ac:dyDescent="0.3">
      <c r="B15" s="87" t="s">
        <v>161</v>
      </c>
      <c r="C15" s="87"/>
      <c r="D15" s="87"/>
      <c r="E15" s="87"/>
      <c r="F15" s="87"/>
      <c r="G15" s="87"/>
      <c r="H15" s="87"/>
      <c r="I15" s="87"/>
      <c r="J15" s="87"/>
      <c r="K15" s="87"/>
      <c r="M15" s="88"/>
      <c r="N15" s="88"/>
      <c r="O15" s="88"/>
      <c r="P15" s="88"/>
      <c r="Q15" s="88"/>
      <c r="R15" s="88"/>
      <c r="S15" s="88"/>
      <c r="T15" s="88"/>
      <c r="U15" s="88"/>
    </row>
    <row r="16" spans="2:21" x14ac:dyDescent="0.3">
      <c r="B16" s="88" t="s">
        <v>165</v>
      </c>
      <c r="C16" s="88"/>
      <c r="D16" s="88"/>
      <c r="E16" s="88"/>
      <c r="F16" s="88"/>
      <c r="G16" s="88"/>
      <c r="H16" s="88"/>
      <c r="I16" s="88"/>
      <c r="J16" s="88"/>
      <c r="K16" s="67"/>
      <c r="M16" s="88"/>
      <c r="N16" s="88"/>
      <c r="O16" s="88"/>
      <c r="P16" s="88"/>
      <c r="Q16" s="88"/>
      <c r="R16" s="88"/>
      <c r="S16" s="88"/>
      <c r="T16" s="88"/>
      <c r="U16" s="88"/>
    </row>
    <row r="17" spans="2:21" x14ac:dyDescent="0.3">
      <c r="B17" s="88"/>
      <c r="C17" s="88"/>
      <c r="D17" s="88"/>
      <c r="E17" s="88"/>
      <c r="F17" s="88"/>
      <c r="G17" s="88"/>
      <c r="H17" s="88"/>
      <c r="I17" s="88"/>
      <c r="J17" s="88"/>
      <c r="K17" s="67"/>
      <c r="M17" s="88"/>
      <c r="N17" s="88"/>
      <c r="O17" s="88"/>
      <c r="P17" s="88"/>
      <c r="Q17" s="88"/>
      <c r="R17" s="88"/>
      <c r="S17" s="88"/>
      <c r="T17" s="88"/>
      <c r="U17" s="88"/>
    </row>
    <row r="18" spans="2:21" x14ac:dyDescent="0.3">
      <c r="B18" s="88"/>
      <c r="C18" s="88"/>
      <c r="D18" s="88"/>
      <c r="E18" s="88"/>
      <c r="F18" s="88"/>
      <c r="G18" s="88"/>
      <c r="H18" s="88"/>
      <c r="I18" s="88"/>
      <c r="J18" s="88"/>
      <c r="K18" s="67"/>
      <c r="M18" s="88"/>
      <c r="N18" s="88"/>
      <c r="O18" s="88"/>
      <c r="P18" s="88"/>
      <c r="Q18" s="88"/>
      <c r="R18" s="88"/>
      <c r="S18" s="88"/>
      <c r="T18" s="88"/>
      <c r="U18" s="88"/>
    </row>
    <row r="19" spans="2:21" x14ac:dyDescent="0.3">
      <c r="B19" s="88"/>
      <c r="C19" s="88"/>
      <c r="D19" s="88"/>
      <c r="E19" s="88"/>
      <c r="F19" s="88"/>
      <c r="G19" s="88"/>
      <c r="H19" s="88"/>
      <c r="I19" s="88"/>
      <c r="J19" s="88"/>
      <c r="K19" s="67"/>
      <c r="M19" s="88"/>
      <c r="N19" s="88"/>
      <c r="O19" s="88"/>
      <c r="P19" s="88"/>
      <c r="Q19" s="88"/>
      <c r="R19" s="88"/>
      <c r="S19" s="88"/>
      <c r="T19" s="88"/>
      <c r="U19" s="88"/>
    </row>
    <row r="20" spans="2:21" x14ac:dyDescent="0.3">
      <c r="B20" s="88"/>
      <c r="C20" s="88"/>
      <c r="D20" s="88"/>
      <c r="E20" s="88"/>
      <c r="F20" s="88"/>
      <c r="G20" s="88"/>
      <c r="H20" s="88"/>
      <c r="I20" s="88"/>
      <c r="J20" s="88"/>
      <c r="M20" s="88"/>
      <c r="N20" s="88"/>
      <c r="O20" s="88"/>
      <c r="P20" s="88"/>
      <c r="Q20" s="88"/>
      <c r="R20" s="88"/>
      <c r="S20" s="88"/>
      <c r="T20" s="88"/>
      <c r="U20" s="88"/>
    </row>
    <row r="21" spans="2:21" x14ac:dyDescent="0.3">
      <c r="B21" s="88"/>
      <c r="C21" s="88"/>
      <c r="D21" s="88"/>
      <c r="E21" s="88"/>
      <c r="F21" s="88"/>
      <c r="G21" s="88"/>
      <c r="H21" s="88"/>
      <c r="I21" s="88"/>
      <c r="J21" s="88"/>
      <c r="M21" s="88"/>
      <c r="N21" s="88"/>
      <c r="O21" s="88"/>
      <c r="P21" s="88"/>
      <c r="Q21" s="88"/>
      <c r="R21" s="88"/>
      <c r="S21" s="88"/>
      <c r="T21" s="88"/>
      <c r="U21" s="88"/>
    </row>
    <row r="22" spans="2:21" x14ac:dyDescent="0.3">
      <c r="B22" s="88"/>
      <c r="C22" s="88"/>
      <c r="D22" s="88"/>
      <c r="E22" s="88"/>
      <c r="F22" s="88"/>
      <c r="G22" s="88"/>
      <c r="H22" s="88"/>
      <c r="I22" s="88"/>
      <c r="J22" s="88"/>
      <c r="M22" s="88"/>
      <c r="N22" s="88"/>
      <c r="O22" s="88"/>
      <c r="P22" s="88"/>
      <c r="Q22" s="88"/>
      <c r="R22" s="88"/>
      <c r="S22" s="88"/>
      <c r="T22" s="88"/>
      <c r="U22" s="88"/>
    </row>
    <row r="23" spans="2:21" x14ac:dyDescent="0.3">
      <c r="B23" s="88"/>
      <c r="C23" s="88"/>
      <c r="D23" s="88"/>
      <c r="E23" s="88"/>
      <c r="F23" s="88"/>
      <c r="G23" s="88"/>
      <c r="H23" s="88"/>
      <c r="I23" s="88"/>
      <c r="J23" s="88"/>
    </row>
    <row r="24" spans="2:21" x14ac:dyDescent="0.3">
      <c r="B24" s="88"/>
      <c r="C24" s="88"/>
      <c r="D24" s="88"/>
      <c r="E24" s="88"/>
      <c r="F24" s="88"/>
      <c r="G24" s="88"/>
      <c r="H24" s="88"/>
      <c r="I24" s="88"/>
      <c r="J24" s="88"/>
    </row>
  </sheetData>
  <mergeCells count="10">
    <mergeCell ref="B2:K2"/>
    <mergeCell ref="B3:K8"/>
    <mergeCell ref="M3:U11"/>
    <mergeCell ref="M2:U2"/>
    <mergeCell ref="M12:U12"/>
    <mergeCell ref="M13:U22"/>
    <mergeCell ref="B16:J24"/>
    <mergeCell ref="B10:K10"/>
    <mergeCell ref="B11:K13"/>
    <mergeCell ref="B15:K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81A9-176D-447D-BDE3-1033E9D40615}">
  <dimension ref="B2:Q33"/>
  <sheetViews>
    <sheetView showGridLines="0" zoomScale="102" zoomScaleNormal="126" workbookViewId="0">
      <selection activeCell="G19" sqref="G19"/>
    </sheetView>
  </sheetViews>
  <sheetFormatPr defaultRowHeight="14.4" x14ac:dyDescent="0.3"/>
  <cols>
    <col min="1" max="1" width="2.33203125" customWidth="1"/>
    <col min="2" max="7" width="15.77734375" customWidth="1"/>
  </cols>
  <sheetData>
    <row r="2" spans="2:17" x14ac:dyDescent="0.3">
      <c r="B2" s="49" t="s">
        <v>170</v>
      </c>
      <c r="D2" s="98" t="s">
        <v>18</v>
      </c>
      <c r="E2" s="98"/>
      <c r="F2" s="98"/>
      <c r="G2" s="98"/>
    </row>
    <row r="3" spans="2:17" x14ac:dyDescent="0.3">
      <c r="B3" s="4" t="s">
        <v>0</v>
      </c>
      <c r="C3" s="21" t="s">
        <v>1</v>
      </c>
      <c r="D3" s="21" t="s">
        <v>2</v>
      </c>
      <c r="E3" s="21" t="s">
        <v>3</v>
      </c>
      <c r="F3" s="21" t="s">
        <v>4</v>
      </c>
      <c r="G3" s="21" t="s">
        <v>33</v>
      </c>
    </row>
    <row r="4" spans="2:17" x14ac:dyDescent="0.3">
      <c r="B4" s="1" t="s">
        <v>5</v>
      </c>
      <c r="C4" s="2">
        <v>951</v>
      </c>
      <c r="D4" s="3">
        <v>1191</v>
      </c>
      <c r="E4" s="3">
        <v>1559</v>
      </c>
      <c r="F4" s="3">
        <v>1477</v>
      </c>
      <c r="G4" s="68">
        <v>2023</v>
      </c>
    </row>
    <row r="5" spans="2:17" x14ac:dyDescent="0.3">
      <c r="B5" s="1" t="s">
        <v>16</v>
      </c>
      <c r="C5" s="2">
        <v>144</v>
      </c>
      <c r="D5" s="2">
        <v>273</v>
      </c>
      <c r="E5" s="2">
        <v>463</v>
      </c>
      <c r="F5" s="2">
        <v>331</v>
      </c>
      <c r="G5" s="69">
        <v>574</v>
      </c>
    </row>
    <row r="6" spans="2:17" x14ac:dyDescent="0.3">
      <c r="B6" s="1" t="s">
        <v>6</v>
      </c>
      <c r="C6" s="2">
        <v>64</v>
      </c>
      <c r="D6" s="2">
        <v>164</v>
      </c>
      <c r="E6" s="2">
        <v>300</v>
      </c>
      <c r="F6" s="2">
        <v>260</v>
      </c>
      <c r="G6" s="69">
        <v>364</v>
      </c>
    </row>
    <row r="7" spans="2:17" x14ac:dyDescent="0.3">
      <c r="B7" s="1" t="s">
        <v>7</v>
      </c>
      <c r="C7" s="2">
        <v>49.74</v>
      </c>
      <c r="D7" s="2">
        <v>127.45</v>
      </c>
      <c r="E7" s="2">
        <v>233.89</v>
      </c>
      <c r="F7" s="2">
        <v>202.74</v>
      </c>
      <c r="G7" s="69">
        <v>283.70999999999998</v>
      </c>
    </row>
    <row r="9" spans="2:17" x14ac:dyDescent="0.3">
      <c r="B9" s="49" t="s">
        <v>169</v>
      </c>
    </row>
    <row r="10" spans="2:17" x14ac:dyDescent="0.3">
      <c r="B10" s="4" t="s">
        <v>0</v>
      </c>
      <c r="C10" s="21" t="s">
        <v>1</v>
      </c>
      <c r="D10" s="21" t="s">
        <v>2</v>
      </c>
      <c r="E10" s="21" t="s">
        <v>3</v>
      </c>
      <c r="F10" s="21" t="s">
        <v>4</v>
      </c>
      <c r="G10" s="21" t="s">
        <v>33</v>
      </c>
    </row>
    <row r="11" spans="2:17" ht="28.8" x14ac:dyDescent="0.3">
      <c r="B11" s="1" t="s">
        <v>8</v>
      </c>
      <c r="C11" s="2">
        <v>60</v>
      </c>
      <c r="D11" s="2">
        <v>237</v>
      </c>
      <c r="E11" s="2">
        <v>261</v>
      </c>
      <c r="F11" s="2">
        <v>317</v>
      </c>
      <c r="G11" s="69">
        <v>347</v>
      </c>
    </row>
    <row r="12" spans="2:17" x14ac:dyDescent="0.3">
      <c r="B12" s="1" t="s">
        <v>9</v>
      </c>
      <c r="C12" s="2">
        <v>-98</v>
      </c>
      <c r="D12" s="2">
        <v>-66</v>
      </c>
      <c r="E12" s="2">
        <v>-144</v>
      </c>
      <c r="F12" s="2">
        <v>-206</v>
      </c>
      <c r="G12" s="69">
        <v>-397</v>
      </c>
    </row>
    <row r="13" spans="2:17" x14ac:dyDescent="0.3">
      <c r="B13" s="1" t="s">
        <v>10</v>
      </c>
      <c r="C13" s="1">
        <f>SUM(C12,C11)</f>
        <v>-38</v>
      </c>
      <c r="D13" s="1">
        <f t="shared" ref="D13:G13" si="0">SUM(D12,D11)</f>
        <v>171</v>
      </c>
      <c r="E13" s="1">
        <f t="shared" si="0"/>
        <v>117</v>
      </c>
      <c r="F13" s="1">
        <f t="shared" si="0"/>
        <v>111</v>
      </c>
      <c r="G13" s="70">
        <f t="shared" si="0"/>
        <v>-50</v>
      </c>
    </row>
    <row r="15" spans="2:17" x14ac:dyDescent="0.3">
      <c r="B15" s="49" t="s">
        <v>171</v>
      </c>
    </row>
    <row r="16" spans="2:17" x14ac:dyDescent="0.3">
      <c r="B16" s="4" t="s">
        <v>0</v>
      </c>
      <c r="C16" s="21" t="s">
        <v>1</v>
      </c>
      <c r="D16" s="21" t="s">
        <v>2</v>
      </c>
      <c r="E16" s="21" t="s">
        <v>3</v>
      </c>
      <c r="F16" s="21" t="s">
        <v>4</v>
      </c>
      <c r="G16" s="21" t="s">
        <v>33</v>
      </c>
      <c r="I16" s="88" t="s">
        <v>190</v>
      </c>
      <c r="J16" s="88"/>
      <c r="K16" s="88"/>
      <c r="L16" s="88"/>
      <c r="M16" s="88"/>
      <c r="N16" s="88"/>
      <c r="O16" s="88"/>
      <c r="P16" s="88"/>
      <c r="Q16" s="88"/>
    </row>
    <row r="17" spans="2:17" x14ac:dyDescent="0.3">
      <c r="B17" s="1" t="s">
        <v>11</v>
      </c>
      <c r="C17" s="3">
        <v>1383</v>
      </c>
      <c r="D17" s="3">
        <v>1580</v>
      </c>
      <c r="E17" s="3">
        <v>1833</v>
      </c>
      <c r="F17" s="3">
        <v>2180</v>
      </c>
      <c r="G17" s="68">
        <v>2930</v>
      </c>
      <c r="I17" s="88"/>
      <c r="J17" s="88"/>
      <c r="K17" s="88"/>
      <c r="L17" s="88"/>
      <c r="M17" s="88"/>
      <c r="N17" s="88"/>
      <c r="O17" s="88"/>
      <c r="P17" s="88"/>
      <c r="Q17" s="88"/>
    </row>
    <row r="18" spans="2:17" x14ac:dyDescent="0.3">
      <c r="B18" t="s">
        <v>17</v>
      </c>
      <c r="C18" s="3">
        <v>241</v>
      </c>
      <c r="D18" s="3">
        <v>128</v>
      </c>
      <c r="E18" s="3">
        <v>95</v>
      </c>
      <c r="F18" s="3">
        <v>157</v>
      </c>
      <c r="G18" s="68">
        <v>301</v>
      </c>
      <c r="I18" s="88"/>
      <c r="J18" s="88"/>
      <c r="K18" s="88"/>
      <c r="L18" s="88"/>
      <c r="M18" s="88"/>
      <c r="N18" s="88"/>
      <c r="O18" s="88"/>
      <c r="P18" s="88"/>
      <c r="Q18" s="88"/>
    </row>
    <row r="19" spans="2:17" ht="28.8" x14ac:dyDescent="0.3">
      <c r="B19" s="1" t="s">
        <v>12</v>
      </c>
      <c r="C19" s="2">
        <v>841</v>
      </c>
      <c r="D19" s="2">
        <v>994</v>
      </c>
      <c r="E19" s="2">
        <v>1283</v>
      </c>
      <c r="F19" s="2">
        <v>1525</v>
      </c>
      <c r="G19" s="69">
        <v>1875</v>
      </c>
      <c r="I19" s="88"/>
      <c r="J19" s="88"/>
      <c r="K19" s="88"/>
      <c r="L19" s="88"/>
      <c r="M19" s="88"/>
      <c r="N19" s="88"/>
      <c r="O19" s="88"/>
      <c r="P19" s="88"/>
      <c r="Q19" s="88"/>
    </row>
    <row r="20" spans="2:17" ht="28.8" x14ac:dyDescent="0.3">
      <c r="B20" s="1" t="s">
        <v>13</v>
      </c>
      <c r="C20" s="2">
        <v>20</v>
      </c>
      <c r="D20" s="2">
        <v>59</v>
      </c>
      <c r="E20" s="2">
        <v>117</v>
      </c>
      <c r="F20" s="2">
        <v>259</v>
      </c>
      <c r="G20" s="69">
        <v>355</v>
      </c>
    </row>
    <row r="22" spans="2:17" x14ac:dyDescent="0.3">
      <c r="B22" t="s">
        <v>15</v>
      </c>
    </row>
    <row r="23" spans="2:17" x14ac:dyDescent="0.3">
      <c r="B23" t="s">
        <v>14</v>
      </c>
    </row>
    <row r="25" spans="2:17" x14ac:dyDescent="0.3">
      <c r="B25" s="87" t="s">
        <v>168</v>
      </c>
      <c r="C25" s="87"/>
      <c r="D25" s="87"/>
      <c r="E25" s="87"/>
      <c r="F25" s="87"/>
      <c r="G25" s="87"/>
      <c r="H25" s="87"/>
    </row>
    <row r="26" spans="2:17" ht="14.4" customHeight="1" x14ac:dyDescent="0.3">
      <c r="B26" s="88" t="s">
        <v>189</v>
      </c>
      <c r="C26" s="88"/>
      <c r="D26" s="88"/>
      <c r="E26" s="88"/>
      <c r="F26" s="88"/>
      <c r="G26" s="88"/>
      <c r="H26" s="88"/>
    </row>
    <row r="27" spans="2:17" x14ac:dyDescent="0.3">
      <c r="B27" s="88"/>
      <c r="C27" s="88"/>
      <c r="D27" s="88"/>
      <c r="E27" s="88"/>
      <c r="F27" s="88"/>
      <c r="G27" s="88"/>
      <c r="H27" s="88"/>
    </row>
    <row r="28" spans="2:17" x14ac:dyDescent="0.3">
      <c r="B28" s="88"/>
      <c r="C28" s="88"/>
      <c r="D28" s="88"/>
      <c r="E28" s="88"/>
      <c r="F28" s="88"/>
      <c r="G28" s="88"/>
      <c r="H28" s="88"/>
    </row>
    <row r="29" spans="2:17" x14ac:dyDescent="0.3">
      <c r="B29" s="88"/>
      <c r="C29" s="88"/>
      <c r="D29" s="88"/>
      <c r="E29" s="88"/>
      <c r="F29" s="88"/>
      <c r="G29" s="88"/>
      <c r="H29" s="88"/>
    </row>
    <row r="30" spans="2:17" x14ac:dyDescent="0.3">
      <c r="B30" s="88"/>
      <c r="C30" s="88"/>
      <c r="D30" s="88"/>
      <c r="E30" s="88"/>
      <c r="F30" s="88"/>
      <c r="G30" s="88"/>
      <c r="H30" s="88"/>
    </row>
    <row r="31" spans="2:17" x14ac:dyDescent="0.3">
      <c r="B31" s="88"/>
      <c r="C31" s="88"/>
      <c r="D31" s="88"/>
      <c r="E31" s="88"/>
      <c r="F31" s="88"/>
      <c r="G31" s="88"/>
      <c r="H31" s="88"/>
    </row>
    <row r="32" spans="2:17" x14ac:dyDescent="0.3">
      <c r="C32" s="1"/>
      <c r="D32" s="1"/>
      <c r="E32" s="1"/>
      <c r="F32" s="1"/>
      <c r="G32" s="1"/>
      <c r="H32" s="1"/>
    </row>
    <row r="33" spans="3:8" x14ac:dyDescent="0.3">
      <c r="C33" s="1"/>
      <c r="D33" s="1"/>
      <c r="E33" s="1"/>
      <c r="F33" s="1"/>
      <c r="G33" s="1"/>
      <c r="H33" s="1"/>
    </row>
  </sheetData>
  <mergeCells count="4">
    <mergeCell ref="I16:Q19"/>
    <mergeCell ref="B26:H31"/>
    <mergeCell ref="B25:H25"/>
    <mergeCell ref="D2:G2"/>
  </mergeCells>
  <phoneticPr fontId="14"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DD1C-9A9F-4711-A879-E3B38EC737E1}">
  <dimension ref="B2:P19"/>
  <sheetViews>
    <sheetView showGridLines="0" workbookViewId="0">
      <selection activeCell="G18" sqref="G18"/>
    </sheetView>
  </sheetViews>
  <sheetFormatPr defaultRowHeight="14.4" x14ac:dyDescent="0.3"/>
  <cols>
    <col min="1" max="1" width="2.33203125" customWidth="1"/>
    <col min="2" max="2" width="22.33203125" customWidth="1"/>
    <col min="3" max="7" width="15.77734375" customWidth="1"/>
  </cols>
  <sheetData>
    <row r="2" spans="2:16" x14ac:dyDescent="0.3">
      <c r="B2" s="26" t="s">
        <v>0</v>
      </c>
      <c r="C2" s="21" t="s">
        <v>1</v>
      </c>
      <c r="D2" s="21" t="s">
        <v>2</v>
      </c>
      <c r="E2" s="21" t="s">
        <v>3</v>
      </c>
      <c r="F2" s="21" t="s">
        <v>4</v>
      </c>
      <c r="G2" s="21" t="s">
        <v>33</v>
      </c>
      <c r="I2" s="87" t="s">
        <v>172</v>
      </c>
      <c r="J2" s="87"/>
      <c r="K2" s="87"/>
      <c r="L2" s="87"/>
      <c r="M2" s="87"/>
      <c r="N2" s="87"/>
      <c r="O2" s="87"/>
      <c r="P2" s="87"/>
    </row>
    <row r="3" spans="2:16" ht="14.4" customHeight="1" x14ac:dyDescent="0.3">
      <c r="B3" s="10" t="s">
        <v>21</v>
      </c>
      <c r="C3" s="11"/>
      <c r="D3" s="11"/>
      <c r="E3" s="12"/>
      <c r="F3" s="12"/>
      <c r="G3" s="12"/>
      <c r="I3" s="99" t="s">
        <v>191</v>
      </c>
      <c r="J3" s="99"/>
      <c r="K3" s="99"/>
      <c r="L3" s="99"/>
      <c r="M3" s="99"/>
      <c r="N3" s="99"/>
      <c r="O3" s="99"/>
      <c r="P3" s="99"/>
    </row>
    <row r="4" spans="2:16" x14ac:dyDescent="0.3">
      <c r="B4" s="1" t="s">
        <v>19</v>
      </c>
      <c r="C4" s="7" t="s">
        <v>29</v>
      </c>
      <c r="D4" s="6">
        <f>(Historical_Financials!D4-Historical_Financials!C4)/Historical_Financials!C4</f>
        <v>0.25236593059936907</v>
      </c>
      <c r="E4" s="6">
        <f>(Historical_Financials!E4-Historical_Financials!D4)/Historical_Financials!D4</f>
        <v>0.30898404701931148</v>
      </c>
      <c r="F4" s="6">
        <f>(Historical_Financials!F4-Historical_Financials!E4)/Historical_Financials!E4</f>
        <v>-5.2597819114817188E-2</v>
      </c>
      <c r="G4" s="6">
        <f>(Historical_Financials!G4-Historical_Financials!F4)/Historical_Financials!F4</f>
        <v>0.36966824644549762</v>
      </c>
      <c r="I4" s="99"/>
      <c r="J4" s="99"/>
      <c r="K4" s="99"/>
      <c r="L4" s="99"/>
      <c r="M4" s="99"/>
      <c r="N4" s="99"/>
      <c r="O4" s="99"/>
      <c r="P4" s="99"/>
    </row>
    <row r="5" spans="2:16" x14ac:dyDescent="0.3">
      <c r="B5" s="1" t="s">
        <v>20</v>
      </c>
      <c r="C5" s="8" t="s">
        <v>29</v>
      </c>
      <c r="D5" s="6">
        <f>(Historical_Financials!D6-Historical_Financials!C6)/Historical_Financials!C6</f>
        <v>1.5625</v>
      </c>
      <c r="E5" s="6">
        <f>(Historical_Financials!E6-Historical_Financials!D6)/Historical_Financials!D6</f>
        <v>0.82926829268292679</v>
      </c>
      <c r="F5" s="6">
        <f>(Historical_Financials!F6-Historical_Financials!E6)/Historical_Financials!E6</f>
        <v>-0.13333333333333333</v>
      </c>
      <c r="G5" s="6">
        <f>(Historical_Financials!G6-Historical_Financials!F6)/Historical_Financials!F6</f>
        <v>0.4</v>
      </c>
      <c r="I5" s="99"/>
      <c r="J5" s="99"/>
      <c r="K5" s="99"/>
      <c r="L5" s="99"/>
      <c r="M5" s="99"/>
      <c r="N5" s="99"/>
      <c r="O5" s="99"/>
      <c r="P5" s="99"/>
    </row>
    <row r="6" spans="2:16" x14ac:dyDescent="0.3">
      <c r="B6" s="1"/>
      <c r="C6" s="2"/>
      <c r="D6" s="2"/>
      <c r="E6" s="2"/>
      <c r="F6" s="2"/>
      <c r="G6" s="2"/>
      <c r="I6" s="99"/>
      <c r="J6" s="99"/>
      <c r="K6" s="99"/>
      <c r="L6" s="99"/>
      <c r="M6" s="99"/>
      <c r="N6" s="99"/>
      <c r="O6" s="99"/>
      <c r="P6" s="99"/>
    </row>
    <row r="7" spans="2:16" x14ac:dyDescent="0.3">
      <c r="B7" s="10" t="s">
        <v>22</v>
      </c>
      <c r="C7" s="11"/>
      <c r="D7" s="11"/>
      <c r="E7" s="12"/>
      <c r="F7" s="12"/>
      <c r="G7" s="12"/>
      <c r="I7" s="99"/>
      <c r="J7" s="99"/>
      <c r="K7" s="99"/>
      <c r="L7" s="99"/>
      <c r="M7" s="99"/>
      <c r="N7" s="99"/>
      <c r="O7" s="99"/>
      <c r="P7" s="99"/>
    </row>
    <row r="8" spans="2:16" x14ac:dyDescent="0.3">
      <c r="B8" s="1" t="s">
        <v>23</v>
      </c>
      <c r="C8" s="9">
        <f>Historical_Financials!C5/Historical_Financials!C4</f>
        <v>0.15141955835962145</v>
      </c>
      <c r="D8" s="9">
        <f>Historical_Financials!D5/Historical_Financials!D4</f>
        <v>0.22921914357682618</v>
      </c>
      <c r="E8" s="9">
        <f>Historical_Financials!E5/Historical_Financials!E4</f>
        <v>0.29698524695317513</v>
      </c>
      <c r="F8" s="9">
        <f>Historical_Financials!F5/Historical_Financials!F4</f>
        <v>0.22410291130670276</v>
      </c>
      <c r="G8" s="9">
        <f>Historical_Financials!G5/Historical_Financials!G4</f>
        <v>0.2837370242214533</v>
      </c>
      <c r="I8" s="99"/>
      <c r="J8" s="99"/>
      <c r="K8" s="99"/>
      <c r="L8" s="99"/>
      <c r="M8" s="99"/>
      <c r="N8" s="99"/>
      <c r="O8" s="99"/>
      <c r="P8" s="99"/>
    </row>
    <row r="9" spans="2:16" x14ac:dyDescent="0.3">
      <c r="B9" s="1" t="s">
        <v>24</v>
      </c>
      <c r="C9" s="9">
        <f>Historical_Financials!C6/Historical_Financials!C4</f>
        <v>6.7297581493165087E-2</v>
      </c>
      <c r="D9" s="9">
        <f>Historical_Financials!D6/Historical_Financials!D4</f>
        <v>0.13769941225860621</v>
      </c>
      <c r="E9" s="9">
        <f>Historical_Financials!E6/Historical_Financials!E4</f>
        <v>0.19243104554201412</v>
      </c>
      <c r="F9" s="9">
        <f>Historical_Financials!F6/Historical_Financials!F4</f>
        <v>0.17603249830737983</v>
      </c>
      <c r="G9" s="9">
        <f>Historical_Financials!G6/Historical_Financials!G4</f>
        <v>0.17993079584775087</v>
      </c>
      <c r="I9" s="99"/>
      <c r="J9" s="99"/>
      <c r="K9" s="99"/>
      <c r="L9" s="99"/>
      <c r="M9" s="99"/>
      <c r="N9" s="99"/>
      <c r="O9" s="99"/>
      <c r="P9" s="99"/>
    </row>
    <row r="10" spans="2:16" x14ac:dyDescent="0.3">
      <c r="I10" s="99"/>
      <c r="J10" s="99"/>
      <c r="K10" s="99"/>
      <c r="L10" s="99"/>
      <c r="M10" s="99"/>
      <c r="N10" s="99"/>
      <c r="O10" s="99"/>
      <c r="P10" s="99"/>
    </row>
    <row r="11" spans="2:16" x14ac:dyDescent="0.3">
      <c r="B11" s="10" t="s">
        <v>25</v>
      </c>
      <c r="C11" s="11"/>
      <c r="D11" s="11"/>
      <c r="E11" s="12"/>
      <c r="F11" s="12"/>
      <c r="G11" s="12"/>
      <c r="I11" s="99"/>
      <c r="J11" s="99"/>
      <c r="K11" s="99"/>
      <c r="L11" s="99"/>
      <c r="M11" s="99"/>
      <c r="N11" s="99"/>
      <c r="O11" s="99"/>
      <c r="P11" s="99"/>
    </row>
    <row r="12" spans="2:16" x14ac:dyDescent="0.3">
      <c r="B12" t="s">
        <v>26</v>
      </c>
      <c r="C12" s="71">
        <f>Historical_Financials!C18/Historical_Financials!C19</f>
        <v>0.28656361474435194</v>
      </c>
      <c r="D12" s="71">
        <f>Historical_Financials!D18/Historical_Financials!D19</f>
        <v>0.12877263581488935</v>
      </c>
      <c r="E12" s="71">
        <f>Historical_Financials!E18/Historical_Financials!E19</f>
        <v>7.4045206547155101E-2</v>
      </c>
      <c r="F12" s="71">
        <f>Historical_Financials!F18/Historical_Financials!F19</f>
        <v>0.10295081967213114</v>
      </c>
      <c r="G12" s="71">
        <f>Historical_Financials!G18/Historical_Financials!G19</f>
        <v>0.16053333333333333</v>
      </c>
      <c r="I12" s="99"/>
      <c r="J12" s="99"/>
      <c r="K12" s="99"/>
      <c r="L12" s="99"/>
      <c r="M12" s="99"/>
      <c r="N12" s="99"/>
      <c r="O12" s="99"/>
      <c r="P12" s="99"/>
    </row>
    <row r="13" spans="2:16" x14ac:dyDescent="0.3">
      <c r="I13" s="99"/>
      <c r="J13" s="99"/>
      <c r="K13" s="99"/>
      <c r="L13" s="99"/>
      <c r="M13" s="99"/>
      <c r="N13" s="99"/>
      <c r="O13" s="99"/>
      <c r="P13" s="99"/>
    </row>
    <row r="14" spans="2:16" x14ac:dyDescent="0.3">
      <c r="B14" s="10" t="s">
        <v>27</v>
      </c>
      <c r="C14" s="11"/>
      <c r="D14" s="11"/>
      <c r="E14" s="12"/>
      <c r="F14" s="12"/>
      <c r="G14" s="12"/>
    </row>
    <row r="15" spans="2:16" x14ac:dyDescent="0.3">
      <c r="B15" t="s">
        <v>28</v>
      </c>
      <c r="C15" s="5" t="s">
        <v>29</v>
      </c>
      <c r="D15" s="9">
        <f>(Historical_Financials!D17-Historical_Financials!C17)/Historical_Financials!C17</f>
        <v>0.14244396240057844</v>
      </c>
      <c r="E15" s="9">
        <f>(Historical_Financials!E17-Historical_Financials!D17)/Historical_Financials!D17</f>
        <v>0.16012658227848101</v>
      </c>
      <c r="F15" s="9">
        <f>(Historical_Financials!F17-Historical_Financials!E17)/Historical_Financials!E17</f>
        <v>0.18930714675395527</v>
      </c>
      <c r="G15" s="9">
        <f>(Historical_Financials!G17-Historical_Financials!F17)/Historical_Financials!F17</f>
        <v>0.34403669724770641</v>
      </c>
    </row>
    <row r="17" spans="2:7" x14ac:dyDescent="0.3">
      <c r="B17" s="10" t="s">
        <v>30</v>
      </c>
      <c r="C17" s="11"/>
      <c r="D17" s="11"/>
      <c r="E17" s="12"/>
      <c r="F17" s="12"/>
      <c r="G17" s="12"/>
    </row>
    <row r="18" spans="2:7" x14ac:dyDescent="0.3">
      <c r="B18" s="1" t="s">
        <v>31</v>
      </c>
      <c r="C18" s="15">
        <f>Historical_Financials!C6/Historical_Financials!C19</f>
        <v>7.6099881093935784E-2</v>
      </c>
      <c r="D18" s="15">
        <f>Historical_Financials!D6/Historical_Financials!D19</f>
        <v>0.16498993963782696</v>
      </c>
      <c r="E18" s="15">
        <f>Historical_Financials!E6/Historical_Financials!E19</f>
        <v>0.23382696804364769</v>
      </c>
      <c r="F18" s="15">
        <f>Historical_Financials!F6/Historical_Financials!F19</f>
        <v>0.17049180327868851</v>
      </c>
      <c r="G18" s="15">
        <f>Historical_Financials!G6/Historical_Financials!G19</f>
        <v>0.19413333333333332</v>
      </c>
    </row>
    <row r="19" spans="2:7" x14ac:dyDescent="0.3">
      <c r="B19" s="1" t="s">
        <v>32</v>
      </c>
      <c r="C19" s="15">
        <f>Historical_Financials!C6/Historical_Financials!C17</f>
        <v>4.6276211135213303E-2</v>
      </c>
      <c r="D19" s="15">
        <f>Historical_Financials!D6/Historical_Financials!D17</f>
        <v>0.10379746835443038</v>
      </c>
      <c r="E19" s="15">
        <f>Historical_Financials!E6/Historical_Financials!E17</f>
        <v>0.16366612111292964</v>
      </c>
      <c r="F19" s="15">
        <f>Historical_Financials!F6/Historical_Financials!F17</f>
        <v>0.11926605504587157</v>
      </c>
      <c r="G19" s="15">
        <f>Historical_Financials!G6/Historical_Financials!G17</f>
        <v>0.1242320819112628</v>
      </c>
    </row>
  </sheetData>
  <mergeCells count="2">
    <mergeCell ref="I2:P2"/>
    <mergeCell ref="I3:P13"/>
  </mergeCells>
  <conditionalFormatting sqref="C4:G5">
    <cfRule type="cellIs" dxfId="1" priority="1" operator="greaterThan">
      <formula>0</formula>
    </cfRule>
    <cfRule type="cellIs" dxfId="0" priority="2"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F744-1A86-4C6D-BF97-68D2EF3AD6B6}">
  <dimension ref="B2:H15"/>
  <sheetViews>
    <sheetView showGridLines="0" tabSelected="1" workbookViewId="0">
      <selection activeCell="G23" sqref="G23"/>
    </sheetView>
  </sheetViews>
  <sheetFormatPr defaultRowHeight="14.4" x14ac:dyDescent="0.3"/>
  <cols>
    <col min="1" max="1" width="2.33203125" customWidth="1"/>
    <col min="2" max="3" width="20.77734375" customWidth="1"/>
    <col min="4" max="4" width="12.88671875" customWidth="1"/>
    <col min="5" max="5" width="12.109375" customWidth="1"/>
    <col min="6" max="6" width="13.21875" customWidth="1"/>
    <col min="7" max="7" width="20.77734375" customWidth="1"/>
    <col min="8" max="8" width="59" customWidth="1"/>
  </cols>
  <sheetData>
    <row r="2" spans="2:8" x14ac:dyDescent="0.3">
      <c r="B2" s="26" t="s">
        <v>82</v>
      </c>
      <c r="C2" s="26" t="s">
        <v>83</v>
      </c>
      <c r="D2" s="26" t="s">
        <v>84</v>
      </c>
      <c r="E2" s="26" t="s">
        <v>85</v>
      </c>
      <c r="F2" s="26" t="s">
        <v>86</v>
      </c>
      <c r="G2" s="26" t="s">
        <v>87</v>
      </c>
      <c r="H2" s="26" t="s">
        <v>177</v>
      </c>
    </row>
    <row r="3" spans="2:8" x14ac:dyDescent="0.3">
      <c r="B3" s="70" t="s">
        <v>88</v>
      </c>
      <c r="C3" s="74">
        <f>DCF!M4</f>
        <v>21842</v>
      </c>
      <c r="D3" s="74">
        <v>60.2</v>
      </c>
      <c r="E3" s="75">
        <f>Ratio_Analysis!G18</f>
        <v>0.19413333333333332</v>
      </c>
      <c r="F3" s="74">
        <v>26.6</v>
      </c>
      <c r="G3" s="76">
        <f>Ratio_Analysis!G4</f>
        <v>0.36966824644549762</v>
      </c>
      <c r="H3" s="80" t="s">
        <v>192</v>
      </c>
    </row>
    <row r="4" spans="2:8" x14ac:dyDescent="0.3">
      <c r="B4" s="1" t="s">
        <v>89</v>
      </c>
      <c r="C4" s="72">
        <v>176558</v>
      </c>
      <c r="D4" s="43">
        <v>67.3</v>
      </c>
      <c r="E4" s="73">
        <v>0.16500000000000001</v>
      </c>
      <c r="F4" s="43">
        <v>22</v>
      </c>
      <c r="G4" s="57">
        <v>0.19309999999999999</v>
      </c>
      <c r="H4" s="44" t="s">
        <v>173</v>
      </c>
    </row>
    <row r="5" spans="2:8" x14ac:dyDescent="0.3">
      <c r="B5" s="1" t="s">
        <v>90</v>
      </c>
      <c r="C5" s="43" t="s">
        <v>92</v>
      </c>
      <c r="D5" s="43">
        <v>47.2</v>
      </c>
      <c r="E5" s="73" t="s">
        <v>98</v>
      </c>
      <c r="F5" s="43" t="s">
        <v>93</v>
      </c>
      <c r="G5" s="57">
        <v>4.41E-2</v>
      </c>
      <c r="H5" s="44" t="s">
        <v>174</v>
      </c>
    </row>
    <row r="6" spans="2:8" x14ac:dyDescent="0.3">
      <c r="B6" s="1" t="s">
        <v>91</v>
      </c>
      <c r="C6" s="43" t="s">
        <v>94</v>
      </c>
      <c r="D6" s="43">
        <v>82</v>
      </c>
      <c r="E6" s="73" t="s">
        <v>99</v>
      </c>
      <c r="F6" s="43" t="s">
        <v>95</v>
      </c>
      <c r="G6" s="57">
        <v>0.1018</v>
      </c>
      <c r="H6" s="44" t="s">
        <v>175</v>
      </c>
    </row>
    <row r="7" spans="2:8" x14ac:dyDescent="0.3">
      <c r="B7" s="1" t="s">
        <v>96</v>
      </c>
      <c r="C7" s="72">
        <v>150104</v>
      </c>
      <c r="D7" s="43">
        <v>68.64</v>
      </c>
      <c r="E7" s="73" t="s">
        <v>97</v>
      </c>
      <c r="F7" s="43">
        <v>15.2</v>
      </c>
      <c r="G7" s="57">
        <v>7.3499999999999996E-2</v>
      </c>
      <c r="H7" s="44" t="s">
        <v>176</v>
      </c>
    </row>
    <row r="8" spans="2:8" x14ac:dyDescent="0.3">
      <c r="B8" s="1" t="s">
        <v>179</v>
      </c>
      <c r="C8" s="44">
        <f>AVERAGE(C3:C7)</f>
        <v>116168</v>
      </c>
      <c r="D8" s="83">
        <f t="shared" ref="D8:G8" si="0">AVERAGE(D3:D7)</f>
        <v>65.067999999999998</v>
      </c>
      <c r="E8" s="77">
        <f>AVERAGE(E3:E7)</f>
        <v>0.17956666666666665</v>
      </c>
      <c r="F8" s="83">
        <f t="shared" si="0"/>
        <v>21.266666666666666</v>
      </c>
      <c r="G8" s="78">
        <f t="shared" si="0"/>
        <v>0.15643364928909953</v>
      </c>
    </row>
    <row r="10" spans="2:8" ht="14.4" customHeight="1" x14ac:dyDescent="0.3">
      <c r="B10" s="96" t="s">
        <v>178</v>
      </c>
      <c r="C10" s="96"/>
      <c r="D10" s="96"/>
      <c r="E10" s="96"/>
    </row>
    <row r="11" spans="2:8" ht="15" customHeight="1" x14ac:dyDescent="0.3">
      <c r="B11" s="88" t="s">
        <v>193</v>
      </c>
      <c r="C11" s="88"/>
      <c r="D11" s="88"/>
      <c r="E11" s="88"/>
    </row>
    <row r="12" spans="2:8" x14ac:dyDescent="0.3">
      <c r="B12" s="88"/>
      <c r="C12" s="88"/>
      <c r="D12" s="88"/>
      <c r="E12" s="88"/>
    </row>
    <row r="13" spans="2:8" x14ac:dyDescent="0.3">
      <c r="B13" s="88"/>
      <c r="C13" s="88"/>
      <c r="D13" s="88"/>
      <c r="E13" s="88"/>
    </row>
    <row r="14" spans="2:8" x14ac:dyDescent="0.3">
      <c r="B14" s="88"/>
      <c r="C14" s="88"/>
      <c r="D14" s="88"/>
      <c r="E14" s="88"/>
    </row>
    <row r="15" spans="2:8" x14ac:dyDescent="0.3">
      <c r="B15" s="88"/>
      <c r="C15" s="88"/>
      <c r="D15" s="88"/>
      <c r="E15" s="88"/>
    </row>
  </sheetData>
  <mergeCells count="2">
    <mergeCell ref="B10:E10"/>
    <mergeCell ref="B11:E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57F2F-BC16-438B-A1F6-73ADEB0314FD}">
  <dimension ref="B2:M30"/>
  <sheetViews>
    <sheetView showGridLines="0" workbookViewId="0">
      <selection activeCell="I27" sqref="I27"/>
    </sheetView>
  </sheetViews>
  <sheetFormatPr defaultRowHeight="14.4" x14ac:dyDescent="0.3"/>
  <cols>
    <col min="1" max="1" width="2.33203125" customWidth="1"/>
    <col min="2" max="2" width="23.6640625" customWidth="1"/>
    <col min="3" max="7" width="15.77734375" customWidth="1"/>
    <col min="8" max="8" width="2.33203125" customWidth="1"/>
    <col min="9" max="9" width="25" customWidth="1"/>
    <col min="10" max="10" width="20.77734375" customWidth="1"/>
    <col min="11" max="11" width="2.33203125" customWidth="1"/>
    <col min="12" max="12" width="23.44140625" customWidth="1"/>
    <col min="13" max="13" width="12.6640625" customWidth="1"/>
  </cols>
  <sheetData>
    <row r="2" spans="2:13" ht="14.4" customHeight="1" x14ac:dyDescent="0.3">
      <c r="B2" s="26" t="s">
        <v>38</v>
      </c>
      <c r="C2" s="21" t="s">
        <v>34</v>
      </c>
      <c r="D2" s="21" t="s">
        <v>35</v>
      </c>
      <c r="E2" s="21" t="s">
        <v>36</v>
      </c>
      <c r="F2" s="21" t="s">
        <v>37</v>
      </c>
      <c r="G2" s="21" t="s">
        <v>194</v>
      </c>
      <c r="I2" s="26" t="s">
        <v>38</v>
      </c>
      <c r="J2" s="21" t="s">
        <v>49</v>
      </c>
      <c r="L2" s="26" t="s">
        <v>64</v>
      </c>
      <c r="M2" s="26" t="s">
        <v>49</v>
      </c>
    </row>
    <row r="3" spans="2:13" ht="14.4" customHeight="1" x14ac:dyDescent="0.3">
      <c r="B3" s="1" t="s">
        <v>39</v>
      </c>
      <c r="C3" s="13">
        <v>0.15</v>
      </c>
      <c r="D3" s="13">
        <v>0.13</v>
      </c>
      <c r="E3" s="13">
        <v>0.11</v>
      </c>
      <c r="F3" s="13">
        <v>0.1</v>
      </c>
      <c r="G3" s="13">
        <v>0.08</v>
      </c>
      <c r="I3" s="1" t="s">
        <v>41</v>
      </c>
      <c r="J3" s="13">
        <v>0.25</v>
      </c>
      <c r="L3" s="1" t="s">
        <v>65</v>
      </c>
      <c r="M3" s="28">
        <v>17016</v>
      </c>
    </row>
    <row r="4" spans="2:13" ht="14.4" customHeight="1" x14ac:dyDescent="0.3">
      <c r="B4" s="1" t="s">
        <v>40</v>
      </c>
      <c r="C4" s="13">
        <v>0.27</v>
      </c>
      <c r="D4" s="13">
        <v>0.27</v>
      </c>
      <c r="E4" s="13">
        <v>0.28000000000000003</v>
      </c>
      <c r="F4" s="13">
        <v>0.28000000000000003</v>
      </c>
      <c r="G4" s="13">
        <v>0.28000000000000003</v>
      </c>
      <c r="I4" s="1" t="s">
        <v>50</v>
      </c>
      <c r="J4" s="13">
        <v>0.12</v>
      </c>
      <c r="L4" s="1" t="s">
        <v>66</v>
      </c>
      <c r="M4" s="29">
        <v>21842</v>
      </c>
    </row>
    <row r="5" spans="2:13" ht="14.4" customHeight="1" x14ac:dyDescent="0.3">
      <c r="B5" s="1"/>
      <c r="C5" s="13"/>
      <c r="D5" s="13"/>
      <c r="E5" s="13"/>
      <c r="F5" s="13"/>
      <c r="G5" s="13"/>
      <c r="I5" s="1" t="s">
        <v>54</v>
      </c>
      <c r="J5" s="13">
        <v>0.04</v>
      </c>
    </row>
    <row r="6" spans="2:13" ht="14.4" customHeight="1" x14ac:dyDescent="0.3">
      <c r="B6" s="26" t="s">
        <v>0</v>
      </c>
      <c r="C6" s="21" t="s">
        <v>34</v>
      </c>
      <c r="D6" s="21" t="s">
        <v>35</v>
      </c>
      <c r="E6" s="21" t="s">
        <v>36</v>
      </c>
      <c r="F6" s="21" t="s">
        <v>37</v>
      </c>
      <c r="G6" s="21" t="s">
        <v>194</v>
      </c>
    </row>
    <row r="7" spans="2:13" ht="14.4" customHeight="1" x14ac:dyDescent="0.3">
      <c r="B7" s="1" t="s">
        <v>5</v>
      </c>
      <c r="C7" s="16">
        <f>Historical_Financials!G4*(1+DCF!C3)</f>
        <v>2326.4499999999998</v>
      </c>
      <c r="D7" s="16">
        <f>C7*(1+D3)</f>
        <v>2628.8884999999996</v>
      </c>
      <c r="E7" s="16">
        <f>D7*(1+E3)</f>
        <v>2918.0662349999998</v>
      </c>
      <c r="F7" s="16">
        <f>E7*(1+F3)</f>
        <v>3209.8728584999999</v>
      </c>
      <c r="G7" s="16">
        <f>F7*(1+G3)</f>
        <v>3466.6626871799999</v>
      </c>
      <c r="I7" s="26" t="s">
        <v>53</v>
      </c>
      <c r="J7" s="21" t="s">
        <v>69</v>
      </c>
    </row>
    <row r="8" spans="2:13" x14ac:dyDescent="0.3">
      <c r="B8" s="1" t="s">
        <v>16</v>
      </c>
      <c r="C8" s="16">
        <f>C7*C4</f>
        <v>628.14149999999995</v>
      </c>
      <c r="D8" s="16">
        <f>D7*D4</f>
        <v>709.79989499999988</v>
      </c>
      <c r="E8" s="16">
        <f>E7*E4</f>
        <v>817.05854580000005</v>
      </c>
      <c r="F8" s="16">
        <f>F7*F4</f>
        <v>898.7644003800001</v>
      </c>
      <c r="G8" s="16">
        <f>G7*G4</f>
        <v>970.6655524104001</v>
      </c>
      <c r="I8" s="1" t="s">
        <v>55</v>
      </c>
      <c r="J8" s="19">
        <f>SUM(C16:G16)</f>
        <v>2122.6632126110285</v>
      </c>
    </row>
    <row r="9" spans="2:13" x14ac:dyDescent="0.3">
      <c r="B9" s="1" t="s">
        <v>47</v>
      </c>
      <c r="C9" s="13">
        <v>0.25</v>
      </c>
      <c r="D9" s="13">
        <v>0.25</v>
      </c>
      <c r="E9" s="13">
        <v>0.25</v>
      </c>
      <c r="F9" s="13">
        <v>0.25</v>
      </c>
      <c r="G9" s="13">
        <v>0.25</v>
      </c>
      <c r="I9" t="s">
        <v>58</v>
      </c>
      <c r="J9" s="23">
        <f>C21</f>
        <v>5370.1215979962581</v>
      </c>
    </row>
    <row r="10" spans="2:13" x14ac:dyDescent="0.3">
      <c r="B10" s="1" t="s">
        <v>48</v>
      </c>
      <c r="C10" s="16">
        <f>C8*(1-C9)</f>
        <v>471.10612499999996</v>
      </c>
      <c r="D10" s="16">
        <f>D8*(1-D9)</f>
        <v>532.34992124999985</v>
      </c>
      <c r="E10" s="16">
        <f>E8*(1-E9)</f>
        <v>612.79390935000004</v>
      </c>
      <c r="F10" s="16">
        <f>F8*(1-F9)</f>
        <v>674.07330028500007</v>
      </c>
      <c r="G10" s="16">
        <f>G8*(1-G9)</f>
        <v>727.99916430780013</v>
      </c>
      <c r="I10" t="s">
        <v>60</v>
      </c>
      <c r="J10" s="24">
        <f>SUM(J8:J9)</f>
        <v>7492.784810607287</v>
      </c>
    </row>
    <row r="11" spans="2:13" x14ac:dyDescent="0.3">
      <c r="B11" s="1" t="s">
        <v>10</v>
      </c>
      <c r="C11" s="16">
        <f>C10</f>
        <v>471.10612499999996</v>
      </c>
      <c r="D11" s="16">
        <f t="shared" ref="D11:G11" si="0">D10</f>
        <v>532.34992124999985</v>
      </c>
      <c r="E11" s="16">
        <f t="shared" si="0"/>
        <v>612.79390935000004</v>
      </c>
      <c r="F11" s="16">
        <f t="shared" si="0"/>
        <v>674.07330028500007</v>
      </c>
      <c r="G11" s="16">
        <f t="shared" si="0"/>
        <v>727.99916430780013</v>
      </c>
      <c r="I11" t="s">
        <v>61</v>
      </c>
      <c r="J11">
        <f>Historical_Financials!G20</f>
        <v>355</v>
      </c>
    </row>
    <row r="12" spans="2:13" x14ac:dyDescent="0.3">
      <c r="I12" t="s">
        <v>62</v>
      </c>
      <c r="J12" s="25">
        <f>Historical_Financials!G18</f>
        <v>301</v>
      </c>
    </row>
    <row r="13" spans="2:13" x14ac:dyDescent="0.3">
      <c r="B13" s="26" t="s">
        <v>0</v>
      </c>
      <c r="C13" s="21" t="s">
        <v>34</v>
      </c>
      <c r="D13" s="21" t="s">
        <v>35</v>
      </c>
      <c r="E13" s="21" t="s">
        <v>36</v>
      </c>
      <c r="F13" s="21" t="s">
        <v>37</v>
      </c>
      <c r="G13" s="21" t="s">
        <v>194</v>
      </c>
      <c r="I13" t="s">
        <v>63</v>
      </c>
      <c r="J13" s="24">
        <f>J10+J11-J12</f>
        <v>7546.784810607287</v>
      </c>
    </row>
    <row r="14" spans="2:13" ht="20.399999999999999" customHeight="1" x14ac:dyDescent="0.3">
      <c r="B14" s="1" t="s">
        <v>10</v>
      </c>
      <c r="C14" s="16">
        <f>C11</f>
        <v>471.10612499999996</v>
      </c>
      <c r="D14" s="16">
        <f t="shared" ref="D14:G14" si="1">D11</f>
        <v>532.34992124999985</v>
      </c>
      <c r="E14" s="16">
        <f t="shared" si="1"/>
        <v>612.79390935000004</v>
      </c>
      <c r="F14" s="16">
        <f t="shared" si="1"/>
        <v>674.07330028500007</v>
      </c>
      <c r="G14" s="16">
        <f t="shared" si="1"/>
        <v>727.99916430780013</v>
      </c>
      <c r="I14" s="1" t="s">
        <v>67</v>
      </c>
      <c r="J14" s="30">
        <f>M4/M3</f>
        <v>1.283615420780442</v>
      </c>
    </row>
    <row r="15" spans="2:13" x14ac:dyDescent="0.3">
      <c r="B15" s="1" t="s">
        <v>51</v>
      </c>
      <c r="C15" s="17">
        <f>1/(1+$J$4)^1</f>
        <v>0.89285714285714279</v>
      </c>
      <c r="D15" s="17">
        <f>1/(1+$J$4)^2</f>
        <v>0.79719387755102034</v>
      </c>
      <c r="E15" s="17">
        <f>1/(1+$J$4)^3</f>
        <v>0.71178024781341087</v>
      </c>
      <c r="F15" s="17">
        <f>1/(1+$J$4)^4</f>
        <v>0.63551807840483121</v>
      </c>
      <c r="G15" s="17">
        <f>1/(1+$J$4)^5</f>
        <v>0.56742685571859919</v>
      </c>
      <c r="I15" t="s">
        <v>68</v>
      </c>
      <c r="J15" s="84">
        <f>J13/J14</f>
        <v>5879.3192169807526</v>
      </c>
    </row>
    <row r="16" spans="2:13" x14ac:dyDescent="0.3">
      <c r="B16" s="1" t="s">
        <v>52</v>
      </c>
      <c r="C16" s="18">
        <f>C14*C15</f>
        <v>420.63046874999992</v>
      </c>
      <c r="D16" s="18">
        <f>D14*D15</f>
        <v>424.38609793526768</v>
      </c>
      <c r="E16" s="18">
        <f t="shared" ref="E16:G16" si="2">E14*E15</f>
        <v>436.17460065569185</v>
      </c>
      <c r="F16" s="18">
        <f t="shared" si="2"/>
        <v>428.38576850112599</v>
      </c>
      <c r="G16" s="18">
        <f t="shared" si="2"/>
        <v>413.08627676894287</v>
      </c>
    </row>
    <row r="18" spans="2:9" x14ac:dyDescent="0.3">
      <c r="B18" s="4" t="s">
        <v>56</v>
      </c>
      <c r="C18" s="21" t="s">
        <v>49</v>
      </c>
      <c r="E18" s="100" t="s">
        <v>195</v>
      </c>
      <c r="F18" s="100"/>
      <c r="G18" s="100"/>
      <c r="H18" s="100"/>
      <c r="I18" s="100"/>
    </row>
    <row r="19" spans="2:9" x14ac:dyDescent="0.3">
      <c r="B19" s="1" t="s">
        <v>59</v>
      </c>
      <c r="C19" s="22">
        <f>G14*(1+J5)</f>
        <v>757.11913088011215</v>
      </c>
      <c r="E19" s="100"/>
      <c r="F19" s="100"/>
      <c r="G19" s="100"/>
      <c r="H19" s="100"/>
      <c r="I19" s="100"/>
    </row>
    <row r="20" spans="2:9" x14ac:dyDescent="0.3">
      <c r="B20" s="1" t="s">
        <v>57</v>
      </c>
      <c r="C20" s="22">
        <f>C19/(J4-J5)</f>
        <v>9463.9891360014026</v>
      </c>
      <c r="E20" s="100"/>
      <c r="F20" s="100"/>
      <c r="G20" s="100"/>
      <c r="H20" s="100"/>
      <c r="I20" s="100"/>
    </row>
    <row r="21" spans="2:9" x14ac:dyDescent="0.3">
      <c r="B21" s="1" t="s">
        <v>58</v>
      </c>
      <c r="C21" s="22">
        <f>C20*G15</f>
        <v>5370.1215979962581</v>
      </c>
      <c r="E21" s="100"/>
      <c r="F21" s="100"/>
      <c r="G21" s="100"/>
      <c r="H21" s="100"/>
      <c r="I21" s="100"/>
    </row>
    <row r="25" spans="2:9" x14ac:dyDescent="0.3">
      <c r="D25" s="17"/>
      <c r="E25" s="17"/>
      <c r="F25" s="17"/>
      <c r="G25" s="17"/>
    </row>
    <row r="29" spans="2:9" x14ac:dyDescent="0.3">
      <c r="C29" s="20"/>
    </row>
    <row r="30" spans="2:9" x14ac:dyDescent="0.3">
      <c r="C30" s="20"/>
    </row>
  </sheetData>
  <mergeCells count="1">
    <mergeCell ref="E18:I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99A1-29DF-49ED-B825-5FA97160C051}">
  <dimension ref="B2:M27"/>
  <sheetViews>
    <sheetView showGridLines="0" zoomScale="98" workbookViewId="0">
      <selection activeCell="D12" sqref="D12"/>
    </sheetView>
  </sheetViews>
  <sheetFormatPr defaultRowHeight="14.4" x14ac:dyDescent="0.3"/>
  <cols>
    <col min="1" max="1" width="2.33203125" customWidth="1"/>
    <col min="2" max="2" width="17.5546875" customWidth="1"/>
    <col min="3" max="5" width="15.77734375" customWidth="1"/>
    <col min="6" max="6" width="3.77734375" customWidth="1"/>
    <col min="7" max="13" width="15.77734375" customWidth="1"/>
  </cols>
  <sheetData>
    <row r="2" spans="2:13" x14ac:dyDescent="0.3">
      <c r="B2" s="26" t="s">
        <v>38</v>
      </c>
      <c r="C2" s="21" t="s">
        <v>72</v>
      </c>
      <c r="D2" s="21" t="s">
        <v>73</v>
      </c>
      <c r="E2" s="21" t="s">
        <v>74</v>
      </c>
      <c r="F2" s="34"/>
      <c r="H2" s="26" t="s">
        <v>38</v>
      </c>
      <c r="I2" s="21" t="s">
        <v>34</v>
      </c>
      <c r="J2" s="21" t="s">
        <v>35</v>
      </c>
      <c r="K2" s="21" t="s">
        <v>36</v>
      </c>
      <c r="L2" s="21" t="s">
        <v>37</v>
      </c>
      <c r="M2" s="21" t="s">
        <v>194</v>
      </c>
    </row>
    <row r="3" spans="2:13" x14ac:dyDescent="0.3">
      <c r="B3" s="1" t="s">
        <v>75</v>
      </c>
      <c r="C3" s="14">
        <v>0.1</v>
      </c>
      <c r="D3" s="14">
        <v>0.15</v>
      </c>
      <c r="E3" s="14">
        <v>0.2</v>
      </c>
      <c r="G3" s="89" t="s">
        <v>79</v>
      </c>
      <c r="H3" t="s">
        <v>39</v>
      </c>
      <c r="I3" s="36">
        <v>0.1</v>
      </c>
      <c r="J3" s="37">
        <v>0.08</v>
      </c>
      <c r="K3" s="37">
        <v>7.0000000000000007E-2</v>
      </c>
      <c r="L3" s="37">
        <v>0.06</v>
      </c>
      <c r="M3" s="37">
        <v>0.05</v>
      </c>
    </row>
    <row r="4" spans="2:13" x14ac:dyDescent="0.3">
      <c r="B4" s="1" t="s">
        <v>76</v>
      </c>
      <c r="C4" s="14">
        <v>0.08</v>
      </c>
      <c r="D4" s="14">
        <v>0.13</v>
      </c>
      <c r="E4" s="14">
        <v>0.18</v>
      </c>
      <c r="F4" s="33"/>
      <c r="G4" s="90"/>
      <c r="H4" s="35" t="s">
        <v>40</v>
      </c>
      <c r="I4" s="42">
        <v>0.24</v>
      </c>
      <c r="J4" s="38">
        <v>0.23</v>
      </c>
      <c r="K4" s="38">
        <v>0.22</v>
      </c>
      <c r="L4" s="38">
        <v>0.22</v>
      </c>
      <c r="M4" s="38">
        <v>0.21</v>
      </c>
    </row>
    <row r="5" spans="2:13" x14ac:dyDescent="0.3">
      <c r="B5" s="1" t="s">
        <v>77</v>
      </c>
      <c r="C5" s="14">
        <v>7.0000000000000007E-2</v>
      </c>
      <c r="D5" s="14">
        <v>0.11</v>
      </c>
      <c r="E5" s="14">
        <v>0.16</v>
      </c>
      <c r="F5" s="14"/>
      <c r="G5" s="91" t="s">
        <v>81</v>
      </c>
      <c r="H5" t="s">
        <v>39</v>
      </c>
      <c r="I5" s="40">
        <v>0.15</v>
      </c>
      <c r="J5" s="39">
        <v>0.13</v>
      </c>
      <c r="K5" s="39">
        <v>0.11</v>
      </c>
      <c r="L5" s="39">
        <v>0.1</v>
      </c>
      <c r="M5" s="39">
        <v>0.08</v>
      </c>
    </row>
    <row r="6" spans="2:13" x14ac:dyDescent="0.3">
      <c r="B6" s="1" t="s">
        <v>78</v>
      </c>
      <c r="C6" s="14">
        <v>0.06</v>
      </c>
      <c r="D6" s="14">
        <v>0.1</v>
      </c>
      <c r="E6" s="14">
        <v>0.14000000000000001</v>
      </c>
      <c r="F6" s="14"/>
      <c r="G6" s="90"/>
      <c r="H6" s="35" t="s">
        <v>40</v>
      </c>
      <c r="I6" s="13">
        <v>0.27</v>
      </c>
      <c r="J6" s="13">
        <v>0.27</v>
      </c>
      <c r="K6" s="13">
        <v>0.28000000000000003</v>
      </c>
      <c r="L6" s="13">
        <v>0.28000000000000003</v>
      </c>
      <c r="M6" s="13">
        <v>0.28000000000000003</v>
      </c>
    </row>
    <row r="7" spans="2:13" x14ac:dyDescent="0.3">
      <c r="B7" s="1" t="s">
        <v>196</v>
      </c>
      <c r="C7" s="14">
        <v>0.05</v>
      </c>
      <c r="D7" s="14">
        <v>0.08</v>
      </c>
      <c r="E7" s="14">
        <v>0.12</v>
      </c>
      <c r="F7" s="14"/>
      <c r="G7" s="92" t="s">
        <v>80</v>
      </c>
      <c r="H7" t="s">
        <v>39</v>
      </c>
      <c r="I7" s="40">
        <v>0.2</v>
      </c>
      <c r="J7" s="39">
        <v>0.18</v>
      </c>
      <c r="K7" s="39">
        <v>0.16</v>
      </c>
      <c r="L7" s="39">
        <v>0.14000000000000001</v>
      </c>
      <c r="M7" s="39">
        <v>0.12</v>
      </c>
    </row>
    <row r="8" spans="2:13" x14ac:dyDescent="0.3">
      <c r="B8" s="1" t="s">
        <v>70</v>
      </c>
      <c r="C8" s="14">
        <v>0.03</v>
      </c>
      <c r="D8" s="14">
        <v>0.04</v>
      </c>
      <c r="E8" s="14">
        <v>0.05</v>
      </c>
      <c r="G8" s="93"/>
      <c r="H8" s="35" t="s">
        <v>40</v>
      </c>
      <c r="I8" s="41">
        <v>0.28999999999999998</v>
      </c>
      <c r="J8" s="38">
        <v>0.3</v>
      </c>
      <c r="K8" s="38">
        <v>0.3</v>
      </c>
      <c r="L8" s="38">
        <v>0.31</v>
      </c>
      <c r="M8" s="38">
        <v>0.32</v>
      </c>
    </row>
    <row r="9" spans="2:13" x14ac:dyDescent="0.3">
      <c r="B9" s="1" t="s">
        <v>50</v>
      </c>
      <c r="C9" s="14">
        <v>0.13</v>
      </c>
      <c r="D9" s="14">
        <v>0.12</v>
      </c>
      <c r="E9" s="14">
        <v>0.1</v>
      </c>
    </row>
    <row r="10" spans="2:13" x14ac:dyDescent="0.3">
      <c r="B10" t="s">
        <v>71</v>
      </c>
      <c r="C10" s="1">
        <v>3950</v>
      </c>
      <c r="D10" s="85">
        <f>DCF!J15</f>
        <v>5879.3192169807526</v>
      </c>
      <c r="E10" s="1">
        <v>8420</v>
      </c>
    </row>
    <row r="11" spans="2:13" x14ac:dyDescent="0.3">
      <c r="B11" s="1" t="s">
        <v>180</v>
      </c>
      <c r="C11" s="79">
        <v>17016</v>
      </c>
      <c r="D11" s="79">
        <v>17016</v>
      </c>
      <c r="E11" s="79">
        <v>17016</v>
      </c>
    </row>
    <row r="12" spans="2:13" x14ac:dyDescent="0.3">
      <c r="B12" t="s">
        <v>181</v>
      </c>
      <c r="C12" s="9">
        <f>(C10/C11)-1</f>
        <v>-0.7678655383168782</v>
      </c>
      <c r="D12" s="9">
        <f>(D10/D11)-1</f>
        <v>-0.6544828856969469</v>
      </c>
      <c r="E12" s="9">
        <f t="shared" ref="D12:E12" si="0">(E10/E11)-1</f>
        <v>-0.50517160319699106</v>
      </c>
    </row>
    <row r="14" spans="2:13" x14ac:dyDescent="0.3">
      <c r="B14" s="87" t="s">
        <v>182</v>
      </c>
      <c r="C14" s="87"/>
      <c r="D14" s="87"/>
      <c r="E14" s="87"/>
    </row>
    <row r="15" spans="2:13" ht="14.4" customHeight="1" x14ac:dyDescent="0.3">
      <c r="B15" s="88" t="s">
        <v>197</v>
      </c>
      <c r="C15" s="88"/>
      <c r="D15" s="88"/>
      <c r="E15" s="88"/>
    </row>
    <row r="16" spans="2:13" x14ac:dyDescent="0.3">
      <c r="B16" s="88"/>
      <c r="C16" s="88"/>
      <c r="D16" s="88"/>
      <c r="E16" s="88"/>
    </row>
    <row r="17" spans="2:5" x14ac:dyDescent="0.3">
      <c r="B17" s="88"/>
      <c r="C17" s="88"/>
      <c r="D17" s="88"/>
      <c r="E17" s="88"/>
    </row>
    <row r="18" spans="2:5" x14ac:dyDescent="0.3">
      <c r="B18" s="88"/>
      <c r="C18" s="88"/>
      <c r="D18" s="88"/>
      <c r="E18" s="88"/>
    </row>
    <row r="19" spans="2:5" x14ac:dyDescent="0.3">
      <c r="B19" s="88"/>
      <c r="C19" s="88"/>
      <c r="D19" s="88"/>
      <c r="E19" s="88"/>
    </row>
    <row r="20" spans="2:5" x14ac:dyDescent="0.3">
      <c r="B20" s="88"/>
      <c r="C20" s="88"/>
      <c r="D20" s="88"/>
      <c r="E20" s="88"/>
    </row>
    <row r="21" spans="2:5" x14ac:dyDescent="0.3">
      <c r="B21" s="88"/>
      <c r="C21" s="88"/>
      <c r="D21" s="88"/>
      <c r="E21" s="88"/>
    </row>
    <row r="22" spans="2:5" x14ac:dyDescent="0.3">
      <c r="B22" s="88"/>
      <c r="C22" s="88"/>
      <c r="D22" s="88"/>
      <c r="E22" s="88"/>
    </row>
    <row r="23" spans="2:5" x14ac:dyDescent="0.3">
      <c r="B23" s="88"/>
      <c r="C23" s="88"/>
      <c r="D23" s="88"/>
      <c r="E23" s="88"/>
    </row>
    <row r="24" spans="2:5" x14ac:dyDescent="0.3">
      <c r="B24" s="88"/>
      <c r="C24" s="88"/>
      <c r="D24" s="88"/>
      <c r="E24" s="88"/>
    </row>
    <row r="25" spans="2:5" x14ac:dyDescent="0.3">
      <c r="B25" s="88"/>
      <c r="C25" s="88"/>
      <c r="D25" s="88"/>
      <c r="E25" s="88"/>
    </row>
    <row r="26" spans="2:5" x14ac:dyDescent="0.3">
      <c r="B26" s="88"/>
      <c r="C26" s="88"/>
      <c r="D26" s="88"/>
      <c r="E26" s="88"/>
    </row>
    <row r="27" spans="2:5" x14ac:dyDescent="0.3">
      <c r="B27" s="88"/>
      <c r="C27" s="88"/>
      <c r="D27" s="88"/>
      <c r="E27" s="88"/>
    </row>
  </sheetData>
  <mergeCells count="5">
    <mergeCell ref="B14:E14"/>
    <mergeCell ref="B15:E27"/>
    <mergeCell ref="G3:G4"/>
    <mergeCell ref="G5:G6"/>
    <mergeCell ref="G7:G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B873-13A4-4E4E-AC25-795B7F7F533C}">
  <dimension ref="B1:AG29"/>
  <sheetViews>
    <sheetView showGridLines="0" zoomScale="95" workbookViewId="0">
      <selection activeCell="S20" sqref="S20"/>
    </sheetView>
  </sheetViews>
  <sheetFormatPr defaultRowHeight="14.4" x14ac:dyDescent="0.3"/>
  <cols>
    <col min="1" max="1" width="2.33203125" customWidth="1"/>
  </cols>
  <sheetData>
    <row r="1" spans="2:33" x14ac:dyDescent="0.3">
      <c r="T1" s="103"/>
      <c r="U1" s="103"/>
      <c r="V1" s="103"/>
      <c r="W1" s="103"/>
      <c r="X1" s="103"/>
      <c r="Y1" s="103"/>
      <c r="Z1" s="103"/>
      <c r="AA1" s="103"/>
      <c r="AB1" s="103"/>
      <c r="AC1" s="103"/>
      <c r="AD1" s="103"/>
      <c r="AE1" s="103"/>
      <c r="AF1" s="103"/>
      <c r="AG1" s="103"/>
    </row>
    <row r="2" spans="2:33" x14ac:dyDescent="0.3">
      <c r="B2" s="102" t="s">
        <v>42</v>
      </c>
      <c r="C2" s="102"/>
      <c r="D2" s="102"/>
      <c r="E2" s="102"/>
      <c r="F2" s="102"/>
      <c r="G2" s="102"/>
      <c r="H2" s="102"/>
      <c r="I2" s="102"/>
      <c r="J2" s="102"/>
      <c r="K2" s="102"/>
      <c r="L2" s="102"/>
      <c r="M2" s="102"/>
      <c r="N2" s="102"/>
      <c r="O2" s="102"/>
    </row>
    <row r="3" spans="2:33" x14ac:dyDescent="0.3">
      <c r="B3" s="80"/>
      <c r="C3" s="80"/>
      <c r="D3" s="80"/>
      <c r="E3" s="80"/>
      <c r="F3" s="80"/>
      <c r="G3" s="80"/>
      <c r="H3" s="80"/>
      <c r="I3" s="80"/>
      <c r="J3" s="80"/>
      <c r="K3" s="80"/>
      <c r="L3" s="80"/>
      <c r="M3" s="80"/>
      <c r="N3" s="80"/>
      <c r="O3" s="80"/>
    </row>
    <row r="4" spans="2:33" x14ac:dyDescent="0.3">
      <c r="B4" s="80" t="s">
        <v>43</v>
      </c>
      <c r="C4" s="80"/>
      <c r="D4" s="80"/>
      <c r="E4" s="80"/>
      <c r="F4" s="80"/>
      <c r="G4" s="80"/>
      <c r="H4" s="80"/>
      <c r="I4" s="80"/>
      <c r="J4" s="80"/>
      <c r="K4" s="80"/>
      <c r="L4" s="80"/>
      <c r="M4" s="80"/>
      <c r="N4" s="80"/>
      <c r="O4" s="80"/>
    </row>
    <row r="5" spans="2:33" x14ac:dyDescent="0.3">
      <c r="B5" s="80"/>
      <c r="C5" s="80"/>
      <c r="D5" s="80"/>
      <c r="E5" s="80"/>
      <c r="F5" s="80"/>
      <c r="G5" s="80"/>
      <c r="H5" s="80"/>
      <c r="I5" s="80"/>
      <c r="J5" s="80"/>
      <c r="K5" s="80"/>
      <c r="L5" s="80"/>
      <c r="M5" s="80"/>
      <c r="N5" s="80"/>
      <c r="O5" s="80"/>
    </row>
    <row r="6" spans="2:33" x14ac:dyDescent="0.3">
      <c r="B6" s="102" t="s">
        <v>44</v>
      </c>
      <c r="C6" s="102"/>
      <c r="D6" s="102"/>
      <c r="E6" s="102"/>
      <c r="F6" s="102"/>
      <c r="G6" s="102"/>
      <c r="H6" s="102"/>
      <c r="I6" s="102"/>
      <c r="J6" s="102"/>
      <c r="K6" s="102"/>
      <c r="L6" s="102"/>
      <c r="M6" s="102"/>
      <c r="N6" s="102"/>
      <c r="O6" s="102"/>
    </row>
    <row r="7" spans="2:33" ht="14.4" customHeight="1" x14ac:dyDescent="0.3">
      <c r="B7" s="101" t="s">
        <v>198</v>
      </c>
      <c r="C7" s="101"/>
      <c r="D7" s="101"/>
      <c r="E7" s="101"/>
      <c r="F7" s="101"/>
      <c r="G7" s="101"/>
      <c r="H7" s="101"/>
      <c r="I7" s="101"/>
      <c r="J7" s="101"/>
      <c r="K7" s="101"/>
      <c r="L7" s="101"/>
      <c r="M7" s="101"/>
      <c r="N7" s="101"/>
      <c r="O7" s="101"/>
    </row>
    <row r="8" spans="2:33" x14ac:dyDescent="0.3">
      <c r="B8" s="101"/>
      <c r="C8" s="101"/>
      <c r="D8" s="101"/>
      <c r="E8" s="101"/>
      <c r="F8" s="101"/>
      <c r="G8" s="101"/>
      <c r="H8" s="101"/>
      <c r="I8" s="101"/>
      <c r="J8" s="101"/>
      <c r="K8" s="101"/>
      <c r="L8" s="101"/>
      <c r="M8" s="101"/>
      <c r="N8" s="101"/>
      <c r="O8" s="101"/>
    </row>
    <row r="9" spans="2:33" x14ac:dyDescent="0.3">
      <c r="B9" s="101"/>
      <c r="C9" s="101"/>
      <c r="D9" s="101"/>
      <c r="E9" s="101"/>
      <c r="F9" s="101"/>
      <c r="G9" s="101"/>
      <c r="H9" s="101"/>
      <c r="I9" s="101"/>
      <c r="J9" s="101"/>
      <c r="K9" s="101"/>
      <c r="L9" s="101"/>
      <c r="M9" s="101"/>
      <c r="N9" s="101"/>
      <c r="O9" s="101"/>
    </row>
    <row r="10" spans="2:33" x14ac:dyDescent="0.3">
      <c r="B10" s="101"/>
      <c r="C10" s="101"/>
      <c r="D10" s="101"/>
      <c r="E10" s="101"/>
      <c r="F10" s="101"/>
      <c r="G10" s="101"/>
      <c r="H10" s="101"/>
      <c r="I10" s="101"/>
      <c r="J10" s="101"/>
      <c r="K10" s="101"/>
      <c r="L10" s="101"/>
      <c r="M10" s="101"/>
      <c r="N10" s="101"/>
      <c r="O10" s="101"/>
    </row>
    <row r="11" spans="2:33" x14ac:dyDescent="0.3">
      <c r="B11" s="101"/>
      <c r="C11" s="101"/>
      <c r="D11" s="101"/>
      <c r="E11" s="101"/>
      <c r="F11" s="101"/>
      <c r="G11" s="101"/>
      <c r="H11" s="101"/>
      <c r="I11" s="101"/>
      <c r="J11" s="101"/>
      <c r="K11" s="101"/>
      <c r="L11" s="101"/>
      <c r="M11" s="101"/>
      <c r="N11" s="101"/>
      <c r="O11" s="101"/>
    </row>
    <row r="12" spans="2:33" x14ac:dyDescent="0.3">
      <c r="B12" s="101"/>
      <c r="C12" s="101"/>
      <c r="D12" s="101"/>
      <c r="E12" s="101"/>
      <c r="F12" s="101"/>
      <c r="G12" s="101"/>
      <c r="H12" s="101"/>
      <c r="I12" s="101"/>
      <c r="J12" s="101"/>
      <c r="K12" s="101"/>
      <c r="L12" s="101"/>
      <c r="M12" s="101"/>
      <c r="N12" s="101"/>
      <c r="O12" s="101"/>
    </row>
    <row r="13" spans="2:33" x14ac:dyDescent="0.3">
      <c r="B13" s="101"/>
      <c r="C13" s="101"/>
      <c r="D13" s="101"/>
      <c r="E13" s="101"/>
      <c r="F13" s="101"/>
      <c r="G13" s="101"/>
      <c r="H13" s="101"/>
      <c r="I13" s="101"/>
      <c r="J13" s="101"/>
      <c r="K13" s="101"/>
      <c r="L13" s="101"/>
      <c r="M13" s="101"/>
      <c r="N13" s="101"/>
      <c r="O13" s="101"/>
    </row>
    <row r="14" spans="2:33" x14ac:dyDescent="0.3">
      <c r="B14" s="80"/>
      <c r="C14" s="80"/>
      <c r="D14" s="80"/>
      <c r="E14" s="80"/>
      <c r="F14" s="80"/>
      <c r="G14" s="80"/>
      <c r="H14" s="80"/>
      <c r="I14" s="80"/>
      <c r="J14" s="80"/>
      <c r="K14" s="80"/>
      <c r="L14" s="80"/>
      <c r="M14" s="80"/>
      <c r="N14" s="80"/>
      <c r="O14" s="80"/>
    </row>
    <row r="15" spans="2:33" x14ac:dyDescent="0.3">
      <c r="B15" s="102" t="s">
        <v>45</v>
      </c>
      <c r="C15" s="102"/>
      <c r="D15" s="102"/>
      <c r="E15" s="102"/>
      <c r="F15" s="102"/>
      <c r="G15" s="102"/>
      <c r="H15" s="102"/>
      <c r="I15" s="102"/>
      <c r="J15" s="102"/>
      <c r="K15" s="102"/>
      <c r="L15" s="102"/>
      <c r="M15" s="102"/>
      <c r="N15" s="102"/>
      <c r="O15" s="102"/>
    </row>
    <row r="16" spans="2:33" x14ac:dyDescent="0.3">
      <c r="B16" s="101" t="s">
        <v>199</v>
      </c>
      <c r="C16" s="101"/>
      <c r="D16" s="101"/>
      <c r="E16" s="101"/>
      <c r="F16" s="101"/>
      <c r="G16" s="101"/>
      <c r="H16" s="101"/>
      <c r="I16" s="101"/>
      <c r="J16" s="101"/>
      <c r="K16" s="101"/>
      <c r="L16" s="101"/>
      <c r="M16" s="80"/>
      <c r="N16" s="80"/>
      <c r="O16" s="80"/>
    </row>
    <row r="17" spans="2:15" x14ac:dyDescent="0.3">
      <c r="B17" s="101"/>
      <c r="C17" s="101"/>
      <c r="D17" s="101"/>
      <c r="E17" s="101"/>
      <c r="F17" s="101"/>
      <c r="G17" s="101"/>
      <c r="H17" s="101"/>
      <c r="I17" s="101"/>
      <c r="J17" s="101"/>
      <c r="K17" s="101"/>
      <c r="L17" s="101"/>
      <c r="M17" s="80"/>
      <c r="N17" s="80"/>
      <c r="O17" s="80"/>
    </row>
    <row r="18" spans="2:15" x14ac:dyDescent="0.3">
      <c r="B18" s="101"/>
      <c r="C18" s="101"/>
      <c r="D18" s="101"/>
      <c r="E18" s="101"/>
      <c r="F18" s="101"/>
      <c r="G18" s="101"/>
      <c r="H18" s="101"/>
      <c r="I18" s="101"/>
      <c r="J18" s="101"/>
      <c r="K18" s="101"/>
      <c r="L18" s="101"/>
      <c r="M18" s="80"/>
      <c r="N18" s="80"/>
      <c r="O18" s="80"/>
    </row>
    <row r="19" spans="2:15" x14ac:dyDescent="0.3">
      <c r="B19" s="101"/>
      <c r="C19" s="101"/>
      <c r="D19" s="101"/>
      <c r="E19" s="101"/>
      <c r="F19" s="101"/>
      <c r="G19" s="101"/>
      <c r="H19" s="101"/>
      <c r="I19" s="101"/>
      <c r="J19" s="101"/>
      <c r="K19" s="101"/>
      <c r="L19" s="101"/>
      <c r="M19" s="80"/>
      <c r="N19" s="80"/>
      <c r="O19" s="80"/>
    </row>
    <row r="20" spans="2:15" x14ac:dyDescent="0.3">
      <c r="B20" s="101"/>
      <c r="C20" s="101"/>
      <c r="D20" s="101"/>
      <c r="E20" s="101"/>
      <c r="F20" s="101"/>
      <c r="G20" s="101"/>
      <c r="H20" s="101"/>
      <c r="I20" s="101"/>
      <c r="J20" s="101"/>
      <c r="K20" s="101"/>
      <c r="L20" s="101"/>
      <c r="M20" s="80"/>
      <c r="N20" s="80"/>
      <c r="O20" s="80"/>
    </row>
    <row r="21" spans="2:15" x14ac:dyDescent="0.3">
      <c r="B21" s="101"/>
      <c r="C21" s="101"/>
      <c r="D21" s="101"/>
      <c r="E21" s="101"/>
      <c r="F21" s="101"/>
      <c r="G21" s="101"/>
      <c r="H21" s="101"/>
      <c r="I21" s="101"/>
      <c r="J21" s="101"/>
      <c r="K21" s="101"/>
      <c r="L21" s="101"/>
      <c r="M21" s="80"/>
      <c r="N21" s="80"/>
      <c r="O21" s="80"/>
    </row>
    <row r="22" spans="2:15" x14ac:dyDescent="0.3">
      <c r="B22" s="101"/>
      <c r="C22" s="101"/>
      <c r="D22" s="101"/>
      <c r="E22" s="101"/>
      <c r="F22" s="101"/>
      <c r="G22" s="101"/>
      <c r="H22" s="101"/>
      <c r="I22" s="101"/>
      <c r="J22" s="101"/>
      <c r="K22" s="101"/>
      <c r="L22" s="101"/>
      <c r="M22" s="80"/>
      <c r="N22" s="80"/>
      <c r="O22" s="80"/>
    </row>
    <row r="23" spans="2:15" x14ac:dyDescent="0.3">
      <c r="B23" s="102" t="s">
        <v>46</v>
      </c>
      <c r="C23" s="102"/>
      <c r="D23" s="102"/>
      <c r="E23" s="102"/>
      <c r="F23" s="102"/>
      <c r="G23" s="102"/>
      <c r="H23" s="102"/>
      <c r="I23" s="102"/>
      <c r="J23" s="102"/>
      <c r="K23" s="102"/>
      <c r="L23" s="102"/>
      <c r="M23" s="102"/>
      <c r="N23" s="102"/>
      <c r="O23" s="102"/>
    </row>
    <row r="24" spans="2:15" x14ac:dyDescent="0.3">
      <c r="B24" s="101" t="s">
        <v>200</v>
      </c>
      <c r="C24" s="101"/>
      <c r="D24" s="101"/>
      <c r="E24" s="101"/>
      <c r="F24" s="101"/>
      <c r="G24" s="101"/>
      <c r="H24" s="101"/>
      <c r="I24" s="101"/>
      <c r="J24" s="101"/>
      <c r="K24" s="101"/>
      <c r="L24" s="101"/>
      <c r="M24" s="101"/>
      <c r="N24" s="101"/>
      <c r="O24" s="101"/>
    </row>
    <row r="25" spans="2:15" x14ac:dyDescent="0.3">
      <c r="B25" s="101"/>
      <c r="C25" s="101"/>
      <c r="D25" s="101"/>
      <c r="E25" s="101"/>
      <c r="F25" s="101"/>
      <c r="G25" s="101"/>
      <c r="H25" s="101"/>
      <c r="I25" s="101"/>
      <c r="J25" s="101"/>
      <c r="K25" s="101"/>
      <c r="L25" s="101"/>
      <c r="M25" s="101"/>
      <c r="N25" s="101"/>
      <c r="O25" s="101"/>
    </row>
    <row r="26" spans="2:15" x14ac:dyDescent="0.3">
      <c r="B26" s="101"/>
      <c r="C26" s="101"/>
      <c r="D26" s="101"/>
      <c r="E26" s="101"/>
      <c r="F26" s="101"/>
      <c r="G26" s="101"/>
      <c r="H26" s="101"/>
      <c r="I26" s="101"/>
      <c r="J26" s="101"/>
      <c r="K26" s="101"/>
      <c r="L26" s="101"/>
      <c r="M26" s="101"/>
      <c r="N26" s="101"/>
      <c r="O26" s="101"/>
    </row>
    <row r="27" spans="2:15" x14ac:dyDescent="0.3">
      <c r="B27" s="101"/>
      <c r="C27" s="101"/>
      <c r="D27" s="101"/>
      <c r="E27" s="101"/>
      <c r="F27" s="101"/>
      <c r="G27" s="101"/>
      <c r="H27" s="101"/>
      <c r="I27" s="101"/>
      <c r="J27" s="101"/>
      <c r="K27" s="101"/>
      <c r="L27" s="101"/>
      <c r="M27" s="101"/>
      <c r="N27" s="101"/>
      <c r="O27" s="101"/>
    </row>
    <row r="28" spans="2:15" x14ac:dyDescent="0.3">
      <c r="B28" s="101"/>
      <c r="C28" s="101"/>
      <c r="D28" s="101"/>
      <c r="E28" s="101"/>
      <c r="F28" s="101"/>
      <c r="G28" s="101"/>
      <c r="H28" s="101"/>
      <c r="I28" s="101"/>
      <c r="J28" s="101"/>
      <c r="K28" s="101"/>
      <c r="L28" s="101"/>
      <c r="M28" s="101"/>
      <c r="N28" s="101"/>
      <c r="O28" s="101"/>
    </row>
    <row r="29" spans="2:15" x14ac:dyDescent="0.3">
      <c r="B29" s="101"/>
      <c r="C29" s="101"/>
      <c r="D29" s="101"/>
      <c r="E29" s="101"/>
      <c r="F29" s="101"/>
      <c r="G29" s="101"/>
      <c r="H29" s="101"/>
      <c r="I29" s="101"/>
      <c r="J29" s="101"/>
      <c r="K29" s="101"/>
      <c r="L29" s="101"/>
      <c r="M29" s="101"/>
      <c r="N29" s="101"/>
      <c r="O29" s="101"/>
    </row>
  </sheetData>
  <mergeCells count="8">
    <mergeCell ref="T1:AG1"/>
    <mergeCell ref="B7:O13"/>
    <mergeCell ref="B16:L22"/>
    <mergeCell ref="B24:O29"/>
    <mergeCell ref="B2:O2"/>
    <mergeCell ref="B6:O6"/>
    <mergeCell ref="B15:O15"/>
    <mergeCell ref="B23:O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40DD-4943-449D-87FA-8433B2E3C77D}">
  <dimension ref="B2:L26"/>
  <sheetViews>
    <sheetView showGridLines="0" workbookViewId="0">
      <selection activeCell="P18" sqref="P18"/>
    </sheetView>
  </sheetViews>
  <sheetFormatPr defaultRowHeight="14.4" x14ac:dyDescent="0.3"/>
  <cols>
    <col min="1" max="1" width="2.33203125" customWidth="1"/>
    <col min="2" max="2" width="22.109375" customWidth="1"/>
    <col min="3" max="3" width="15.77734375" customWidth="1"/>
    <col min="9" max="9" width="4" customWidth="1"/>
    <col min="10" max="10" width="1.5546875" customWidth="1"/>
    <col min="11" max="11" width="18.88671875" customWidth="1"/>
    <col min="12" max="12" width="12.77734375" customWidth="1"/>
  </cols>
  <sheetData>
    <row r="2" spans="2:12" x14ac:dyDescent="0.3">
      <c r="B2" s="87" t="s">
        <v>183</v>
      </c>
      <c r="C2" s="87"/>
      <c r="D2" s="34"/>
      <c r="E2" s="34"/>
      <c r="F2" s="34"/>
      <c r="G2" s="34"/>
      <c r="H2" s="34"/>
    </row>
    <row r="3" spans="2:12" x14ac:dyDescent="0.3">
      <c r="B3" s="82" t="s">
        <v>184</v>
      </c>
      <c r="C3" s="27" t="s">
        <v>49</v>
      </c>
    </row>
    <row r="4" spans="2:12" x14ac:dyDescent="0.3">
      <c r="B4" s="50" t="s">
        <v>185</v>
      </c>
      <c r="C4" s="81">
        <v>17016</v>
      </c>
    </row>
    <row r="5" spans="2:12" x14ac:dyDescent="0.3">
      <c r="B5" s="50" t="s">
        <v>186</v>
      </c>
      <c r="C5" s="81">
        <v>5879</v>
      </c>
      <c r="D5" s="32"/>
      <c r="E5" s="32"/>
      <c r="F5" s="32"/>
      <c r="G5" s="32"/>
      <c r="H5" s="32"/>
    </row>
    <row r="6" spans="2:12" x14ac:dyDescent="0.3">
      <c r="B6" s="50" t="s">
        <v>187</v>
      </c>
      <c r="C6" s="81">
        <v>3950</v>
      </c>
    </row>
    <row r="7" spans="2:12" x14ac:dyDescent="0.3">
      <c r="B7" s="50" t="s">
        <v>188</v>
      </c>
      <c r="C7" s="81">
        <v>8420</v>
      </c>
    </row>
    <row r="8" spans="2:12" x14ac:dyDescent="0.3">
      <c r="K8" s="5"/>
      <c r="L8" s="5"/>
    </row>
    <row r="9" spans="2:12" x14ac:dyDescent="0.3">
      <c r="B9" s="87" t="s">
        <v>201</v>
      </c>
      <c r="C9" s="87"/>
      <c r="D9" s="87"/>
      <c r="E9" s="87"/>
      <c r="F9" s="87"/>
      <c r="G9" s="87"/>
      <c r="H9" s="87"/>
    </row>
    <row r="10" spans="2:12" x14ac:dyDescent="0.3">
      <c r="B10" s="88" t="s">
        <v>202</v>
      </c>
      <c r="C10" s="88"/>
      <c r="D10" s="88"/>
      <c r="E10" s="88"/>
      <c r="F10" s="88"/>
      <c r="G10" s="88"/>
      <c r="H10" s="88"/>
    </row>
    <row r="11" spans="2:12" x14ac:dyDescent="0.3">
      <c r="B11" s="88"/>
      <c r="C11" s="88"/>
      <c r="D11" s="88"/>
      <c r="E11" s="88"/>
      <c r="F11" s="88"/>
      <c r="G11" s="88"/>
      <c r="H11" s="88"/>
    </row>
    <row r="12" spans="2:12" x14ac:dyDescent="0.3">
      <c r="B12" s="88"/>
      <c r="C12" s="88"/>
      <c r="D12" s="88"/>
      <c r="E12" s="88"/>
      <c r="F12" s="88"/>
      <c r="G12" s="88"/>
      <c r="H12" s="88"/>
      <c r="K12" s="104"/>
      <c r="L12" s="104"/>
    </row>
    <row r="13" spans="2:12" x14ac:dyDescent="0.3">
      <c r="B13" s="88"/>
      <c r="C13" s="88"/>
      <c r="D13" s="88"/>
      <c r="E13" s="88"/>
      <c r="F13" s="88"/>
      <c r="G13" s="88"/>
      <c r="H13" s="88"/>
      <c r="K13" s="86"/>
    </row>
    <row r="14" spans="2:12" x14ac:dyDescent="0.3">
      <c r="B14" s="88"/>
      <c r="C14" s="88"/>
      <c r="D14" s="88"/>
      <c r="E14" s="88"/>
      <c r="F14" s="88"/>
      <c r="G14" s="88"/>
      <c r="H14" s="88"/>
      <c r="K14" s="86"/>
    </row>
    <row r="15" spans="2:12" x14ac:dyDescent="0.3">
      <c r="B15" s="88"/>
      <c r="C15" s="88"/>
      <c r="D15" s="88"/>
      <c r="E15" s="88"/>
      <c r="F15" s="88"/>
      <c r="G15" s="88"/>
      <c r="H15" s="88"/>
      <c r="K15" s="86"/>
    </row>
    <row r="16" spans="2:12" x14ac:dyDescent="0.3">
      <c r="B16" s="87" t="s">
        <v>203</v>
      </c>
      <c r="C16" s="87"/>
      <c r="D16" s="87"/>
      <c r="E16" s="87"/>
      <c r="F16" s="87"/>
      <c r="G16" s="87"/>
      <c r="H16" s="87"/>
    </row>
    <row r="17" spans="2:8" x14ac:dyDescent="0.3">
      <c r="B17" s="88" t="s">
        <v>204</v>
      </c>
      <c r="C17" s="88"/>
      <c r="D17" s="88"/>
      <c r="E17" s="88"/>
      <c r="F17" s="88"/>
      <c r="G17" s="88"/>
      <c r="H17" s="88"/>
    </row>
    <row r="18" spans="2:8" x14ac:dyDescent="0.3">
      <c r="B18" s="88"/>
      <c r="C18" s="88"/>
      <c r="D18" s="88"/>
      <c r="E18" s="88"/>
      <c r="F18" s="88"/>
      <c r="G18" s="88"/>
      <c r="H18" s="88"/>
    </row>
    <row r="19" spans="2:8" x14ac:dyDescent="0.3">
      <c r="B19" s="88"/>
      <c r="C19" s="88"/>
      <c r="D19" s="88"/>
      <c r="E19" s="88"/>
      <c r="F19" s="88"/>
      <c r="G19" s="88"/>
      <c r="H19" s="88"/>
    </row>
    <row r="20" spans="2:8" ht="14.4" customHeight="1" x14ac:dyDescent="0.3">
      <c r="B20" s="88"/>
      <c r="C20" s="88"/>
      <c r="D20" s="88"/>
      <c r="E20" s="88"/>
      <c r="F20" s="88"/>
      <c r="G20" s="88"/>
      <c r="H20" s="88"/>
    </row>
    <row r="21" spans="2:8" x14ac:dyDescent="0.3">
      <c r="B21" s="88"/>
      <c r="C21" s="88"/>
      <c r="D21" s="88"/>
      <c r="E21" s="88"/>
      <c r="F21" s="88"/>
      <c r="G21" s="88"/>
      <c r="H21" s="88"/>
    </row>
    <row r="22" spans="2:8" x14ac:dyDescent="0.3">
      <c r="B22" s="88"/>
      <c r="C22" s="88"/>
      <c r="D22" s="88"/>
      <c r="E22" s="88"/>
      <c r="F22" s="88"/>
      <c r="G22" s="88"/>
      <c r="H22" s="88"/>
    </row>
    <row r="23" spans="2:8" x14ac:dyDescent="0.3">
      <c r="B23" s="88"/>
      <c r="C23" s="88"/>
      <c r="D23" s="88"/>
      <c r="E23" s="88"/>
      <c r="F23" s="88"/>
      <c r="G23" s="88"/>
      <c r="H23" s="88"/>
    </row>
    <row r="24" spans="2:8" x14ac:dyDescent="0.3">
      <c r="B24" s="88"/>
      <c r="C24" s="88"/>
      <c r="D24" s="88"/>
      <c r="E24" s="88"/>
      <c r="F24" s="88"/>
      <c r="G24" s="88"/>
      <c r="H24" s="88"/>
    </row>
    <row r="25" spans="2:8" x14ac:dyDescent="0.3">
      <c r="B25" s="88"/>
      <c r="C25" s="88"/>
      <c r="D25" s="88"/>
      <c r="E25" s="88"/>
      <c r="F25" s="88"/>
      <c r="G25" s="88"/>
      <c r="H25" s="88"/>
    </row>
    <row r="26" spans="2:8" x14ac:dyDescent="0.3">
      <c r="B26" s="88"/>
      <c r="C26" s="88"/>
      <c r="D26" s="88"/>
      <c r="E26" s="88"/>
      <c r="F26" s="88"/>
      <c r="G26" s="88"/>
      <c r="H26" s="88"/>
    </row>
  </sheetData>
  <mergeCells count="6">
    <mergeCell ref="B2:C2"/>
    <mergeCell ref="K12:L12"/>
    <mergeCell ref="B10:H15"/>
    <mergeCell ref="B17:H26"/>
    <mergeCell ref="B9:H9"/>
    <mergeCell ref="B16:H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Cover_Page</vt:lpstr>
      <vt:lpstr>Company_Overview</vt:lpstr>
      <vt:lpstr>Industry_Analysis</vt:lpstr>
      <vt:lpstr>Historical_Financials</vt:lpstr>
      <vt:lpstr>Ratio_Analysis</vt:lpstr>
      <vt:lpstr>Comparable_Valuation</vt:lpstr>
      <vt:lpstr>DCF</vt:lpstr>
      <vt:lpstr>Sensitivity</vt:lpstr>
      <vt:lpstr>Investment_Thesis</vt:lpstr>
      <vt:lpstr>Final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Aasti Priya</dc:creator>
  <cp:lastModifiedBy>Aasti Priya</cp:lastModifiedBy>
  <dcterms:created xsi:type="dcterms:W3CDTF">2015-06-05T18:17:20Z</dcterms:created>
  <dcterms:modified xsi:type="dcterms:W3CDTF">2026-06-19T13:41:54Z</dcterms:modified>
</cp:coreProperties>
</file>